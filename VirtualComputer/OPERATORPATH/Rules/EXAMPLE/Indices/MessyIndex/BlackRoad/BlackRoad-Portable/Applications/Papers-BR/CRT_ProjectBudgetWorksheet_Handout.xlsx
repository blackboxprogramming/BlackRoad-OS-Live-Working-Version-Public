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ad.umn.edu\CEHD\Home\siskx008\Documents\&amp;UMN\OLPD3318\Handouts\"/>
    </mc:Choice>
  </mc:AlternateContent>
  <bookViews>
    <workbookView xWindow="10785" yWindow="-15" windowWidth="10815" windowHeight="9990" tabRatio="749" activeTab="4"/>
  </bookViews>
  <sheets>
    <sheet name="Source of Project Cost" sheetId="7" r:id="rId1"/>
    <sheet name="Expenditures Over Time" sheetId="6" r:id="rId2"/>
    <sheet name="Cumulative Project Costs" sheetId="3" r:id="rId3"/>
    <sheet name="Data Worksheet" sheetId="5" r:id="rId4"/>
    <sheet name="Manual Calculations" sheetId="8" r:id="rId5"/>
  </sheets>
  <definedNames>
    <definedName name="ConstructionTotal">'Expenditures Over Time'!$D$35</definedName>
    <definedName name="InstallTotal">'Expenditures Over Time'!$D$11</definedName>
    <definedName name="Planning2Total">'Expenditures Over Time'!$D$27</definedName>
    <definedName name="PlanningTotal">'Expenditures Over Time'!$D$19</definedName>
    <definedName name="_xlnm.Print_Titles" localSheetId="3">'Data Worksheet'!$4:$4</definedName>
    <definedName name="TestTotal">'Expenditures Over Time'!$D$43</definedName>
  </definedNames>
  <calcPr calcId="152511"/>
</workbook>
</file>

<file path=xl/calcChain.xml><?xml version="1.0" encoding="utf-8"?>
<calcChain xmlns="http://schemas.openxmlformats.org/spreadsheetml/2006/main">
  <c r="E6" i="8" l="1"/>
  <c r="E7" i="8" s="1"/>
  <c r="D5" i="8"/>
  <c r="D6" i="8" s="1"/>
  <c r="D7" i="8" s="1"/>
  <c r="D8" i="8" s="1"/>
  <c r="D9" i="8" s="1"/>
  <c r="D10" i="8" s="1"/>
  <c r="D11" i="8" s="1"/>
  <c r="D12" i="8" s="1"/>
  <c r="D13" i="8" s="1"/>
  <c r="D14" i="8" s="1"/>
  <c r="E5" i="5"/>
  <c r="E6" i="5" s="1"/>
  <c r="E7" i="5" s="1"/>
  <c r="E8" i="5" s="1"/>
  <c r="E9" i="5" s="1"/>
  <c r="E10" i="5" s="1"/>
  <c r="E11" i="5" s="1"/>
  <c r="E12" i="5" s="1"/>
  <c r="E13" i="5" s="1"/>
  <c r="E14" i="5" s="1"/>
  <c r="F6" i="5"/>
  <c r="F7" i="5" s="1"/>
  <c r="F8" i="5" s="1"/>
  <c r="F9" i="5" s="1"/>
  <c r="F10" i="5" s="1"/>
  <c r="F11" i="5" s="1"/>
  <c r="F12" i="5" s="1"/>
  <c r="F13" i="5" s="1"/>
  <c r="F14" i="5" s="1"/>
  <c r="I48" i="7"/>
  <c r="E48" i="7"/>
  <c r="E47" i="7"/>
  <c r="I47" i="7" s="1"/>
  <c r="E46" i="7"/>
  <c r="I46" i="7" s="1"/>
  <c r="I39" i="7"/>
  <c r="I43" i="7"/>
  <c r="E43" i="7"/>
  <c r="E42" i="7"/>
  <c r="I42" i="7" s="1"/>
  <c r="E41" i="7"/>
  <c r="I41" i="7" s="1"/>
  <c r="E40" i="7"/>
  <c r="I40" i="7" s="1"/>
  <c r="E39" i="7"/>
  <c r="E38" i="7"/>
  <c r="I38" i="7" s="1"/>
  <c r="E37" i="7"/>
  <c r="I37" i="7" s="1"/>
  <c r="I24" i="7"/>
  <c r="I27" i="7"/>
  <c r="I28" i="7"/>
  <c r="I31" i="7"/>
  <c r="I32" i="7"/>
  <c r="I33" i="7"/>
  <c r="I21" i="7"/>
  <c r="I20" i="7"/>
  <c r="E34" i="7"/>
  <c r="I34" i="7" s="1"/>
  <c r="E33" i="7"/>
  <c r="E32" i="7"/>
  <c r="E29" i="7"/>
  <c r="I29" i="7" s="1"/>
  <c r="E28" i="7"/>
  <c r="E27" i="7"/>
  <c r="E26" i="7"/>
  <c r="I26" i="7" s="1"/>
  <c r="E25" i="7"/>
  <c r="I25" i="7" s="1"/>
  <c r="E24" i="7"/>
  <c r="E31" i="7"/>
  <c r="E30" i="7"/>
  <c r="I30" i="7" s="1"/>
  <c r="E23" i="7"/>
  <c r="I23" i="7" s="1"/>
  <c r="E22" i="7"/>
  <c r="I22" i="7" s="1"/>
  <c r="E21" i="7"/>
  <c r="E20" i="7"/>
  <c r="E17" i="7"/>
  <c r="E16" i="7"/>
  <c r="I16" i="7" s="1"/>
  <c r="E15" i="7"/>
  <c r="I15" i="7" s="1"/>
  <c r="E14" i="7"/>
  <c r="I14" i="7" s="1"/>
  <c r="I17" i="7"/>
  <c r="E11" i="7"/>
  <c r="I11" i="7" s="1"/>
  <c r="E10" i="7"/>
  <c r="I10" i="7" s="1"/>
  <c r="E9" i="7"/>
  <c r="I9" i="7" s="1"/>
  <c r="E8" i="7"/>
  <c r="I8" i="7" s="1"/>
  <c r="E7" i="7"/>
  <c r="I7" i="7" s="1"/>
  <c r="E6" i="7"/>
  <c r="I6" i="7" s="1"/>
  <c r="E5" i="7"/>
  <c r="I5" i="7" s="1"/>
  <c r="E8" i="8" l="1"/>
  <c r="D49" i="7"/>
  <c r="E49" i="7"/>
  <c r="I49" i="7" s="1"/>
  <c r="F49" i="7"/>
  <c r="G49" i="7"/>
  <c r="H49" i="7"/>
  <c r="D44" i="7"/>
  <c r="E44" i="7"/>
  <c r="F44" i="7"/>
  <c r="G44" i="7"/>
  <c r="H44" i="7"/>
  <c r="D35" i="7"/>
  <c r="E35" i="7"/>
  <c r="F35" i="7"/>
  <c r="G35" i="7"/>
  <c r="H35" i="7"/>
  <c r="D18" i="7"/>
  <c r="E18" i="7"/>
  <c r="F18" i="7"/>
  <c r="G18" i="7"/>
  <c r="H18" i="7"/>
  <c r="D12" i="7"/>
  <c r="E12" i="7"/>
  <c r="F12" i="7"/>
  <c r="G12" i="7"/>
  <c r="H12" i="7"/>
  <c r="D43" i="6"/>
  <c r="D35" i="6"/>
  <c r="D27" i="6"/>
  <c r="D19" i="6"/>
  <c r="D11" i="6"/>
  <c r="I35" i="7" l="1"/>
  <c r="I44" i="7"/>
  <c r="L44" i="7" s="1"/>
  <c r="E9" i="8"/>
  <c r="I18" i="7"/>
  <c r="I12" i="7"/>
  <c r="D45" i="6"/>
  <c r="E51" i="7"/>
  <c r="E52" i="7" s="1"/>
  <c r="F51" i="7"/>
  <c r="F52" i="7" s="1"/>
  <c r="G51" i="7"/>
  <c r="G52" i="7" s="1"/>
  <c r="H51" i="7"/>
  <c r="H52" i="7" s="1"/>
  <c r="D51" i="7"/>
  <c r="L7" i="7" l="1"/>
  <c r="L14" i="7"/>
  <c r="L26" i="7"/>
  <c r="L27" i="7" s="1"/>
  <c r="L34" i="7"/>
  <c r="L20" i="7"/>
  <c r="L29" i="7"/>
  <c r="L5" i="7"/>
  <c r="E10" i="8"/>
  <c r="I51" i="7"/>
  <c r="I52" i="7"/>
  <c r="H53" i="7"/>
  <c r="G53" i="7"/>
  <c r="F53" i="7"/>
  <c r="E53" i="7"/>
  <c r="E11" i="8" l="1"/>
  <c r="I53" i="7"/>
  <c r="D53" i="7"/>
  <c r="E12" i="8" l="1"/>
  <c r="E13" i="8" l="1"/>
  <c r="E14" i="8" l="1"/>
</calcChain>
</file>

<file path=xl/sharedStrings.xml><?xml version="1.0" encoding="utf-8"?>
<sst xmlns="http://schemas.openxmlformats.org/spreadsheetml/2006/main" count="139" uniqueCount="91">
  <si>
    <t>Develop Functional Specifications</t>
  </si>
  <si>
    <t>Develop Preliminary Design Specification</t>
  </si>
  <si>
    <t>Develop Acceptance Test Plan</t>
  </si>
  <si>
    <t>Develop Components</t>
  </si>
  <si>
    <t>Procure Hardware</t>
  </si>
  <si>
    <t>Development Acceptance Test Package</t>
  </si>
  <si>
    <t>Install System</t>
  </si>
  <si>
    <t>Train Customers</t>
  </si>
  <si>
    <t>Perform Acceptance Test</t>
  </si>
  <si>
    <t>Perform Post Project Review</t>
  </si>
  <si>
    <t>Provide Warranty Support</t>
  </si>
  <si>
    <t>Archive Materials</t>
  </si>
  <si>
    <t>Customer Progress Meetings/Reports</t>
  </si>
  <si>
    <t>Internal Status Meetings/Reports</t>
  </si>
  <si>
    <t>Third-Party Vendor Interface</t>
  </si>
  <si>
    <t>Interface to Other Internal Departments</t>
  </si>
  <si>
    <t>Configuration Management</t>
  </si>
  <si>
    <t>Quality Assurance</t>
  </si>
  <si>
    <t>Overall Project Management</t>
  </si>
  <si>
    <t>Subtotal</t>
  </si>
  <si>
    <t>PROJECT TOTAL</t>
  </si>
  <si>
    <t>Expenditures Over Time</t>
  </si>
  <si>
    <t>Projected vs. Actual Costs</t>
  </si>
  <si>
    <t>PROJECT TASKS</t>
  </si>
  <si>
    <t>Source of Project Cost</t>
  </si>
  <si>
    <t>LABOR HOURS</t>
  </si>
  <si>
    <t>LABOR COST ($)</t>
  </si>
  <si>
    <t>MATERIAL COST ($)</t>
  </si>
  <si>
    <t>TRAVEL COST ($)</t>
  </si>
  <si>
    <t>OTHER COST ($)</t>
  </si>
  <si>
    <t>TOTAL PER TASK</t>
  </si>
  <si>
    <t>Subtotals</t>
  </si>
  <si>
    <t>Risk (Contingency)</t>
  </si>
  <si>
    <t>Total (Scheduled)</t>
  </si>
  <si>
    <t>ITEM</t>
  </si>
  <si>
    <t>COST</t>
  </si>
  <si>
    <t>DATE</t>
  </si>
  <si>
    <t>REASON FOR EXPENDITURE</t>
  </si>
  <si>
    <t>Achieve Materials</t>
  </si>
  <si>
    <t>INSTALLATION</t>
  </si>
  <si>
    <t>PLANNING (RFP)</t>
  </si>
  <si>
    <t>PLANNING 2</t>
  </si>
  <si>
    <t>CONSTRUCTION</t>
  </si>
  <si>
    <t>TEST &amp; DELIVERY</t>
  </si>
  <si>
    <t>PROJECTED CUMULATIVE COST</t>
  </si>
  <si>
    <t>ACTUAL CUMULATIVE COST</t>
  </si>
  <si>
    <t>MONTHLY COST</t>
  </si>
  <si>
    <t>CUMULATIVE COST</t>
  </si>
  <si>
    <t>Project Data Worksheet</t>
  </si>
  <si>
    <t>PROJECT
 MANAGEMENT</t>
  </si>
  <si>
    <t xml:space="preserve"> </t>
  </si>
  <si>
    <t>PROJECT
 INITIATION</t>
  </si>
  <si>
    <t>PROJECT
 PLANNING</t>
  </si>
  <si>
    <t>PROJECT
 EXECUTION &amp; CONTROL</t>
  </si>
  <si>
    <t>PROJECT
 CLOSE</t>
  </si>
  <si>
    <t>Develop Charter</t>
  </si>
  <si>
    <t>Develop Scope Statement</t>
  </si>
  <si>
    <t>Develop Schedule</t>
  </si>
  <si>
    <t>Develop initial Budget</t>
  </si>
  <si>
    <t>Develop Communications Plan</t>
  </si>
  <si>
    <t>Develop Risk Plan</t>
  </si>
  <si>
    <t>Hold Kickoff Meeting</t>
  </si>
  <si>
    <t>Develop WBS</t>
  </si>
  <si>
    <t>Plan Procurement</t>
  </si>
  <si>
    <t>Create other mgmt plans</t>
  </si>
  <si>
    <t>JAR Session</t>
  </si>
  <si>
    <t>Develop Detailed Design Specification</t>
  </si>
  <si>
    <t>Image Hardware</t>
  </si>
  <si>
    <t>Perform Unit/Integration/System Test</t>
  </si>
  <si>
    <t>Remove Old CRTs</t>
  </si>
  <si>
    <t>Install New CRTs</t>
  </si>
  <si>
    <t>Turn-over to Support</t>
  </si>
  <si>
    <t>Hold Lessons Learned Meeting</t>
  </si>
  <si>
    <t>Archive project materials</t>
  </si>
  <si>
    <t>WEEK</t>
  </si>
  <si>
    <t>5 TO 6</t>
  </si>
  <si>
    <t>9 TO 10</t>
  </si>
  <si>
    <t>ALL</t>
  </si>
  <si>
    <t>PROJECTED WEEKLY COST</t>
  </si>
  <si>
    <t xml:space="preserve">% Complete </t>
  </si>
  <si>
    <t>ACTUAL WEEKLY COST</t>
  </si>
  <si>
    <t>BCWP</t>
  </si>
  <si>
    <t xml:space="preserve">BCWS </t>
  </si>
  <si>
    <t>Add the total budget for the project, including all materials and labor to get the budgeted cost of work scheduled. For example, take a stable building project that is budgeted to use $10,000 in materials and 80 hours of labor at $20 per hour. Budgeted Cost of Work Scheduled is $10,000 + 80 x 20 = $11,600.</t>
  </si>
  <si>
    <t>Figure out the percent of work that has been completed. Continuing the example, 50 hours has been spent on the project but due to problems, only about 20 percent of the stable has actually been built.</t>
  </si>
  <si>
    <t>Multiply the budgeted cost of work scheduled by the percent of work that has been completed to get the BCWP. Finishing the example, $11,600 x 0.20 = $2,320.</t>
  </si>
  <si>
    <t>ACTUAL CUMULATIVE COST (ACWP)</t>
  </si>
  <si>
    <t>COST VARIANCE 
(BCWP - ACWP)</t>
  </si>
  <si>
    <t>SCHEDULE VARIANCE
(BCWP - BCWS)</t>
  </si>
  <si>
    <t>To Calculate BCWP</t>
  </si>
  <si>
    <t>Calculating Earned Value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</si>
</sst>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8" formatCode="&quot;$&quot;#,##0.00_);[Red]\(&quot;$&quot;#,##0.00\)"/>
    <numFmt numFmtId="42" formatCode="_(&quot;$&quot;* #,##0_);_(&quot;$&quot;* \(#,##0\);_(&quot;$&quot;* &quot;-&quot;_);_(@_)"/>
    <numFmt numFmtId="164" formatCode="&quot;$&quot;#,##0.00"/>
    <numFmt numFmtId="165" formatCode="#,##0.0_);\(#,##0.0\)"/>
    <numFmt numFmtId="166" formatCode="0.0"/>
  </numFmts>
  <fonts count="24" x14ac:knownFonts="1">
    <font>
      <sz val="9"/>
      <color theme="1" tint="0.34998626667073579"/>
      <name val="Arial"/>
      <family val="2"/>
      <scheme val="minor"/>
    </font>
    <font>
      <sz val="11"/>
      <color rgb="FF3F3F76"/>
      <name val="Arial"/>
      <family val="2"/>
      <scheme val="minor"/>
    </font>
    <font>
      <sz val="10"/>
      <name val="Arial"/>
      <family val="2"/>
      <scheme val="minor"/>
    </font>
    <font>
      <b/>
      <sz val="9"/>
      <color theme="0"/>
      <name val="Arial"/>
      <family val="2"/>
    </font>
    <font>
      <b/>
      <sz val="9"/>
      <color theme="1" tint="0.34998626667073579"/>
      <name val="Arial"/>
      <family val="2"/>
      <scheme val="major"/>
    </font>
    <font>
      <b/>
      <sz val="9"/>
      <color theme="1" tint="0.34998626667073579"/>
      <name val="Arial"/>
      <family val="2"/>
    </font>
    <font>
      <b/>
      <sz val="9"/>
      <color theme="0"/>
      <name val="Arial"/>
      <family val="2"/>
      <scheme val="major"/>
    </font>
    <font>
      <sz val="9"/>
      <color theme="1" tint="0.34998626667073579"/>
      <name val="Arial"/>
      <family val="2"/>
      <scheme val="minor"/>
    </font>
    <font>
      <b/>
      <sz val="9"/>
      <color theme="1" tint="0.34998626667073579"/>
      <name val="Arial"/>
      <family val="2"/>
      <scheme val="minor"/>
    </font>
    <font>
      <sz val="12"/>
      <color theme="1" tint="0.34998626667073579"/>
      <name val="Arial"/>
      <family val="2"/>
      <scheme val="major"/>
    </font>
    <font>
      <b/>
      <sz val="12"/>
      <color theme="1" tint="0.34998626667073579"/>
      <name val="Arial"/>
      <family val="2"/>
      <scheme val="major"/>
    </font>
    <font>
      <sz val="12"/>
      <color theme="1" tint="0.34998626667073579"/>
      <name val="Arial"/>
      <family val="2"/>
    </font>
    <font>
      <b/>
      <sz val="11"/>
      <name val="Arial"/>
      <family val="2"/>
      <scheme val="minor"/>
    </font>
    <font>
      <sz val="11"/>
      <color theme="1" tint="0.34998626667073579"/>
      <name val="Arial"/>
      <family val="2"/>
      <scheme val="minor"/>
    </font>
    <font>
      <b/>
      <sz val="12"/>
      <color theme="1" tint="0.34998626667073579"/>
      <name val="Arial"/>
      <family val="2"/>
      <scheme val="minor"/>
    </font>
    <font>
      <b/>
      <sz val="12"/>
      <name val="Arial"/>
      <family val="2"/>
      <scheme val="minor"/>
    </font>
    <font>
      <sz val="12"/>
      <color theme="1" tint="0.34998626667073579"/>
      <name val="Arial"/>
      <family val="2"/>
      <scheme val="minor"/>
    </font>
    <font>
      <sz val="12"/>
      <name val="Arial"/>
      <family val="2"/>
      <scheme val="minor"/>
    </font>
    <font>
      <sz val="9"/>
      <color theme="1" tint="0.34998626667073579"/>
      <name val="Arial"/>
      <family val="2"/>
      <scheme val="major"/>
    </font>
    <font>
      <b/>
      <sz val="28"/>
      <color theme="1" tint="0.34998626667073579"/>
      <name val="Arial"/>
      <family val="2"/>
      <scheme val="major"/>
    </font>
    <font>
      <sz val="10"/>
      <color rgb="FF000000"/>
      <name val="Arial"/>
      <family val="2"/>
      <scheme val="minor"/>
    </font>
    <font>
      <u/>
      <sz val="9"/>
      <color theme="10"/>
      <name val="Arial"/>
      <family val="2"/>
      <scheme val="minor"/>
    </font>
    <font>
      <sz val="9"/>
      <color theme="1"/>
      <name val="Arial"/>
      <family val="2"/>
      <scheme val="minor"/>
    </font>
    <font>
      <b/>
      <sz val="20"/>
      <color theme="1" tint="0.34998626667073579"/>
      <name val="Arial"/>
      <family val="2"/>
      <scheme val="minor"/>
    </font>
  </fonts>
  <fills count="12">
    <fill>
      <patternFill patternType="none"/>
    </fill>
    <fill>
      <patternFill patternType="gray125"/>
    </fill>
    <fill>
      <patternFill patternType="solid">
        <fgColor rgb="FFFFCC99"/>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8"/>
        <bgColor indexed="64"/>
      </patternFill>
    </fill>
    <fill>
      <patternFill patternType="solid">
        <fgColor theme="7"/>
        <bgColor indexed="64"/>
      </patternFill>
    </fill>
    <fill>
      <patternFill patternType="solid">
        <fgColor theme="2" tint="-9.9948118533890809E-2"/>
        <bgColor indexed="64"/>
      </patternFill>
    </fill>
    <fill>
      <patternFill patternType="solid">
        <fgColor theme="2" tint="-9.9948118533890809E-2"/>
        <bgColor theme="2"/>
      </patternFill>
    </fill>
    <fill>
      <patternFill patternType="solid">
        <fgColor theme="1" tint="0.34998626667073579"/>
        <bgColor indexed="64"/>
      </patternFill>
    </fill>
    <fill>
      <patternFill patternType="solid">
        <fgColor theme="2" tint="-9.9978637043366805E-2"/>
        <bgColor indexed="64"/>
      </patternFill>
    </fill>
  </fills>
  <borders count="19">
    <border>
      <left/>
      <right/>
      <top/>
      <bottom/>
      <diagonal/>
    </border>
    <border>
      <left style="thin">
        <color rgb="FF7F7F7F"/>
      </left>
      <right style="thin">
        <color rgb="FF7F7F7F"/>
      </right>
      <top style="thin">
        <color rgb="FF7F7F7F"/>
      </top>
      <bottom style="thin">
        <color rgb="FF7F7F7F"/>
      </bottom>
      <diagonal/>
    </border>
    <border>
      <left/>
      <right/>
      <top style="thin">
        <color theme="0" tint="-0.24994659260841701"/>
      </top>
      <bottom style="medium">
        <color theme="1" tint="0.499984740745262"/>
      </bottom>
      <diagonal/>
    </border>
    <border>
      <left/>
      <right/>
      <top style="medium">
        <color theme="1" tint="0.499984740745262"/>
      </top>
      <bottom/>
      <diagonal/>
    </border>
    <border>
      <left style="thin">
        <color theme="1" tint="0.499984740745262"/>
      </left>
      <right/>
      <top style="thin">
        <color theme="0" tint="-0.24994659260841701"/>
      </top>
      <bottom style="medium">
        <color theme="1" tint="0.499984740745262"/>
      </bottom>
      <diagonal/>
    </border>
    <border>
      <left/>
      <right/>
      <top/>
      <bottom style="thin">
        <color theme="1" tint="0.499984740745262"/>
      </bottom>
      <diagonal/>
    </border>
    <border>
      <left style="medium">
        <color theme="1" tint="0.499984740745262"/>
      </left>
      <right/>
      <top style="medium">
        <color theme="1" tint="0.499984740745262"/>
      </top>
      <bottom style="medium">
        <color theme="1" tint="0.499984740745262"/>
      </bottom>
      <diagonal/>
    </border>
    <border>
      <left/>
      <right/>
      <top style="medium">
        <color theme="1" tint="0.499984740745262"/>
      </top>
      <bottom style="medium">
        <color theme="1" tint="0.499984740745262"/>
      </bottom>
      <diagonal/>
    </border>
    <border>
      <left style="medium">
        <color theme="1" tint="0.499984740745262"/>
      </left>
      <right style="thin">
        <color theme="1" tint="0.499984740745262"/>
      </right>
      <top style="medium">
        <color theme="1" tint="0.499984740745262"/>
      </top>
      <bottom/>
      <diagonal/>
    </border>
    <border>
      <left style="medium">
        <color theme="1" tint="0.499984740745262"/>
      </left>
      <right style="thin">
        <color theme="1" tint="0.499984740745262"/>
      </right>
      <top/>
      <bottom/>
      <diagonal/>
    </border>
    <border>
      <left style="medium">
        <color theme="1" tint="0.499984740745262"/>
      </left>
      <right style="thin">
        <color theme="1" tint="0.499984740745262"/>
      </right>
      <top/>
      <bottom style="medium">
        <color theme="1" tint="0.499984740745262"/>
      </bottom>
      <diagonal/>
    </border>
    <border>
      <left style="medium">
        <color theme="1" tint="0.499984740745262"/>
      </left>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style="medium">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medium">
        <color theme="1" tint="0.499984740745262"/>
      </left>
      <right/>
      <top style="thin">
        <color theme="1" tint="0.499984740745262"/>
      </top>
      <bottom style="medium">
        <color theme="1" tint="0.499984740745262"/>
      </bottom>
      <diagonal/>
    </border>
    <border>
      <left/>
      <right/>
      <top style="thin">
        <color theme="1" tint="0.499984740745262"/>
      </top>
      <bottom style="medium">
        <color theme="1" tint="0.499984740745262"/>
      </bottom>
      <diagonal/>
    </border>
    <border>
      <left/>
      <right/>
      <top/>
      <bottom style="medium">
        <color theme="1" tint="0.499984740745262"/>
      </bottom>
      <diagonal/>
    </border>
    <border>
      <left/>
      <right/>
      <top/>
      <bottom style="thin">
        <color theme="0" tint="-0.24994659260841701"/>
      </bottom>
      <diagonal/>
    </border>
  </borders>
  <cellStyleXfs count="6">
    <xf numFmtId="0" fontId="0" fillId="0" borderId="0">
      <alignment vertical="center"/>
    </xf>
    <xf numFmtId="0" fontId="19" fillId="0" borderId="0" applyNumberFormat="0" applyProtection="0">
      <alignment vertical="center"/>
    </xf>
    <xf numFmtId="0" fontId="4" fillId="0" borderId="0" applyNumberFormat="0" applyProtection="0">
      <alignment vertical="center"/>
    </xf>
    <xf numFmtId="0" fontId="1" fillId="2" borderId="1" applyNumberFormat="0" applyAlignment="0" applyProtection="0"/>
    <xf numFmtId="0" fontId="4" fillId="0" borderId="5" applyNumberFormat="0" applyProtection="0">
      <alignment vertical="center"/>
    </xf>
    <xf numFmtId="0" fontId="21" fillId="0" borderId="0" applyNumberFormat="0" applyFill="0" applyBorder="0" applyAlignment="0" applyProtection="0">
      <alignment vertical="center"/>
    </xf>
  </cellStyleXfs>
  <cellXfs count="117">
    <xf numFmtId="0" fontId="0" fillId="0" borderId="0" xfId="0">
      <alignment vertical="center"/>
    </xf>
    <xf numFmtId="0" fontId="19" fillId="0" borderId="0" xfId="1" applyAlignment="1"/>
    <xf numFmtId="0" fontId="19" fillId="0" borderId="0" xfId="1">
      <alignment vertical="center"/>
    </xf>
    <xf numFmtId="0" fontId="2" fillId="0" borderId="0" xfId="0" applyFont="1" applyAlignment="1"/>
    <xf numFmtId="0" fontId="0" fillId="0" borderId="0" xfId="0" applyBorder="1" applyAlignment="1">
      <alignment vertical="center" wrapText="1"/>
    </xf>
    <xf numFmtId="0" fontId="4" fillId="0" borderId="0" xfId="2" applyFont="1" applyAlignment="1">
      <alignment horizontal="right" vertical="center"/>
    </xf>
    <xf numFmtId="0" fontId="4" fillId="0" borderId="0" xfId="2" applyFont="1" applyAlignment="1">
      <alignment horizontal="center" vertical="center"/>
    </xf>
    <xf numFmtId="0" fontId="7" fillId="0" borderId="0" xfId="0" applyFont="1" applyBorder="1" applyAlignment="1">
      <alignment vertical="center" wrapText="1"/>
    </xf>
    <xf numFmtId="0" fontId="7" fillId="0" borderId="0" xfId="0" applyFont="1">
      <alignment vertical="center"/>
    </xf>
    <xf numFmtId="0" fontId="7" fillId="0" borderId="0" xfId="0" applyFont="1">
      <alignment vertical="center"/>
    </xf>
    <xf numFmtId="0" fontId="19" fillId="0" borderId="0" xfId="1" applyBorder="1" applyAlignment="1">
      <alignment vertical="center" wrapText="1"/>
    </xf>
    <xf numFmtId="0" fontId="4" fillId="0" borderId="0" xfId="2" applyFont="1" applyBorder="1" applyAlignment="1">
      <alignment vertical="center" wrapText="1"/>
    </xf>
    <xf numFmtId="8" fontId="10" fillId="8" borderId="7" xfId="0" applyNumberFormat="1" applyFont="1" applyFill="1" applyBorder="1">
      <alignment vertical="center"/>
    </xf>
    <xf numFmtId="0" fontId="0" fillId="10" borderId="0" xfId="0" applyFill="1">
      <alignment vertical="center"/>
    </xf>
    <xf numFmtId="0" fontId="0" fillId="10" borderId="0" xfId="0" applyFill="1" applyBorder="1" applyAlignment="1">
      <alignment vertical="center" wrapText="1"/>
    </xf>
    <xf numFmtId="0" fontId="19" fillId="0" borderId="0" xfId="1" applyAlignment="1">
      <alignment horizontal="left" vertical="center" indent="1"/>
    </xf>
    <xf numFmtId="0" fontId="4" fillId="0" borderId="0" xfId="2" applyAlignment="1">
      <alignment horizontal="left" vertical="center" indent="1"/>
    </xf>
    <xf numFmtId="0" fontId="4" fillId="0" borderId="0" xfId="2" applyAlignment="1">
      <alignment horizontal="right" vertical="center" indent="1"/>
    </xf>
    <xf numFmtId="165" fontId="5" fillId="9" borderId="2" xfId="0" applyNumberFormat="1" applyFont="1" applyFill="1" applyBorder="1" applyAlignment="1">
      <alignment horizontal="right" vertical="center" wrapText="1" indent="1"/>
    </xf>
    <xf numFmtId="166" fontId="12" fillId="8" borderId="12" xfId="0" applyNumberFormat="1" applyFont="1" applyFill="1" applyBorder="1" applyAlignment="1">
      <alignment horizontal="right" vertical="center" wrapText="1" indent="1"/>
    </xf>
    <xf numFmtId="166" fontId="12" fillId="8" borderId="16" xfId="0" applyNumberFormat="1" applyFont="1" applyFill="1" applyBorder="1" applyAlignment="1">
      <alignment horizontal="right" vertical="center" wrapText="1" indent="1"/>
    </xf>
    <xf numFmtId="164" fontId="12" fillId="8" borderId="16" xfId="0" applyNumberFormat="1" applyFont="1" applyFill="1" applyBorder="1" applyAlignment="1">
      <alignment horizontal="right" vertical="center" wrapText="1" indent="1"/>
    </xf>
    <xf numFmtId="0" fontId="10" fillId="0" borderId="6" xfId="0" applyFont="1" applyFill="1" applyBorder="1" applyAlignment="1">
      <alignment horizontal="left" vertical="center" indent="1"/>
    </xf>
    <xf numFmtId="0" fontId="4" fillId="0" borderId="0" xfId="2" applyFont="1" applyAlignment="1">
      <alignment horizontal="left" vertical="center" indent="1"/>
    </xf>
    <xf numFmtId="0" fontId="0" fillId="0" borderId="0" xfId="0" applyAlignment="1">
      <alignment horizontal="center" vertical="center"/>
    </xf>
    <xf numFmtId="0" fontId="0" fillId="10" borderId="0" xfId="0" applyFill="1" applyAlignment="1">
      <alignment horizontal="center" vertical="center"/>
    </xf>
    <xf numFmtId="0" fontId="19" fillId="0" borderId="0" xfId="1" applyAlignment="1">
      <alignment horizontal="center" vertical="center"/>
    </xf>
    <xf numFmtId="0" fontId="0" fillId="0" borderId="0" xfId="0" applyFill="1">
      <alignment vertical="center"/>
    </xf>
    <xf numFmtId="0" fontId="19" fillId="0" borderId="0" xfId="1" applyFill="1">
      <alignment vertical="center"/>
    </xf>
    <xf numFmtId="0" fontId="4" fillId="0" borderId="5" xfId="4" applyFill="1" applyAlignment="1">
      <alignment vertical="center"/>
    </xf>
    <xf numFmtId="0" fontId="0" fillId="0" borderId="0" xfId="0" applyFont="1" applyFill="1" applyBorder="1" applyAlignment="1">
      <alignment horizontal="center" vertical="center"/>
    </xf>
    <xf numFmtId="164" fontId="0" fillId="0" borderId="0" xfId="0" applyNumberFormat="1" applyFont="1" applyFill="1" applyBorder="1" applyAlignment="1">
      <alignment horizontal="center" vertical="center"/>
    </xf>
    <xf numFmtId="37" fontId="0" fillId="0" borderId="3" xfId="3" applyNumberFormat="1" applyFont="1" applyFill="1" applyBorder="1" applyAlignment="1">
      <alignment horizontal="left" vertical="center" indent="1"/>
    </xf>
    <xf numFmtId="165" fontId="0" fillId="0" borderId="3" xfId="3" applyNumberFormat="1" applyFont="1" applyFill="1" applyBorder="1" applyAlignment="1">
      <alignment horizontal="right" vertical="center" wrapText="1" indent="1"/>
    </xf>
    <xf numFmtId="164" fontId="0" fillId="0" borderId="3" xfId="3" applyNumberFormat="1" applyFont="1" applyFill="1" applyBorder="1" applyAlignment="1">
      <alignment horizontal="right" vertical="center" wrapText="1" indent="1"/>
    </xf>
    <xf numFmtId="164" fontId="0" fillId="0" borderId="3" xfId="0" applyNumberFormat="1" applyFont="1" applyFill="1" applyBorder="1" applyAlignment="1">
      <alignment horizontal="right" vertical="center" wrapText="1" indent="1"/>
    </xf>
    <xf numFmtId="37" fontId="0" fillId="0" borderId="0" xfId="3" applyNumberFormat="1" applyFont="1" applyFill="1" applyBorder="1" applyAlignment="1">
      <alignment horizontal="left" vertical="center" indent="1"/>
    </xf>
    <xf numFmtId="165" fontId="0" fillId="0" borderId="0" xfId="3" applyNumberFormat="1" applyFont="1" applyFill="1" applyBorder="1" applyAlignment="1">
      <alignment horizontal="right" vertical="center" wrapText="1" indent="1"/>
    </xf>
    <xf numFmtId="164" fontId="0" fillId="0" borderId="0" xfId="3" applyNumberFormat="1" applyFont="1" applyFill="1" applyBorder="1" applyAlignment="1">
      <alignment horizontal="right" vertical="center" wrapText="1" indent="1"/>
    </xf>
    <xf numFmtId="164" fontId="0" fillId="0" borderId="0" xfId="0" applyNumberFormat="1" applyFont="1" applyFill="1" applyBorder="1" applyAlignment="1">
      <alignment horizontal="right" vertical="center" wrapText="1" indent="1"/>
    </xf>
    <xf numFmtId="0" fontId="5" fillId="0" borderId="2" xfId="0" applyFont="1" applyFill="1" applyBorder="1" applyAlignment="1">
      <alignment horizontal="left" vertical="center" wrapText="1" indent="1"/>
    </xf>
    <xf numFmtId="49" fontId="0" fillId="0" borderId="3" xfId="0" applyNumberFormat="1" applyFont="1" applyFill="1" applyBorder="1" applyAlignment="1">
      <alignment horizontal="left" vertical="center" wrapText="1" indent="1"/>
    </xf>
    <xf numFmtId="49" fontId="0" fillId="0" borderId="0" xfId="0" applyNumberFormat="1" applyFont="1" applyFill="1" applyBorder="1" applyAlignment="1">
      <alignment horizontal="left" vertical="center" wrapText="1" indent="1"/>
    </xf>
    <xf numFmtId="0" fontId="14" fillId="0" borderId="11" xfId="0" applyFont="1" applyFill="1" applyBorder="1" applyAlignment="1">
      <alignment horizontal="left" vertical="center" indent="1"/>
    </xf>
    <xf numFmtId="0" fontId="15" fillId="0" borderId="11" xfId="0" applyFont="1" applyFill="1" applyBorder="1" applyAlignment="1">
      <alignment vertical="center" wrapText="1"/>
    </xf>
    <xf numFmtId="0" fontId="16" fillId="0" borderId="13" xfId="0" applyFont="1" applyFill="1" applyBorder="1" applyAlignment="1">
      <alignment horizontal="left" vertical="center" indent="1"/>
    </xf>
    <xf numFmtId="0" fontId="17" fillId="0" borderId="14" xfId="0" applyFont="1" applyFill="1" applyBorder="1" applyAlignment="1">
      <alignment vertical="center" wrapText="1"/>
    </xf>
    <xf numFmtId="0" fontId="14" fillId="0" borderId="15" xfId="0" applyFont="1" applyFill="1" applyBorder="1" applyAlignment="1">
      <alignment horizontal="left" vertical="center" indent="1"/>
    </xf>
    <xf numFmtId="0" fontId="15" fillId="0" borderId="15" xfId="0" applyFont="1" applyFill="1" applyBorder="1" applyAlignment="1">
      <alignment vertical="center" wrapText="1"/>
    </xf>
    <xf numFmtId="166" fontId="13" fillId="0" borderId="14" xfId="3" applyNumberFormat="1" applyFont="1" applyFill="1" applyBorder="1" applyAlignment="1" applyProtection="1">
      <alignment horizontal="right" vertical="center" wrapText="1" indent="1"/>
      <protection locked="0"/>
    </xf>
    <xf numFmtId="164" fontId="13" fillId="0" borderId="14" xfId="3" applyNumberFormat="1" applyFont="1" applyFill="1" applyBorder="1" applyAlignment="1" applyProtection="1">
      <alignment horizontal="right" vertical="center" wrapText="1" indent="1"/>
      <protection locked="0"/>
    </xf>
    <xf numFmtId="164" fontId="12" fillId="0" borderId="14" xfId="0" applyNumberFormat="1" applyFont="1" applyFill="1" applyBorder="1" applyAlignment="1">
      <alignment horizontal="right" vertical="center" wrapText="1" indent="1"/>
    </xf>
    <xf numFmtId="0" fontId="7" fillId="0" borderId="3" xfId="0" applyFont="1" applyFill="1" applyBorder="1" applyAlignment="1">
      <alignment horizontal="left" vertical="center" wrapText="1" indent="1"/>
    </xf>
    <xf numFmtId="8" fontId="7" fillId="0" borderId="3" xfId="0" applyNumberFormat="1" applyFont="1" applyFill="1" applyBorder="1" applyAlignment="1">
      <alignment horizontal="right" vertical="center"/>
    </xf>
    <xf numFmtId="14" fontId="7" fillId="0" borderId="3" xfId="0" applyNumberFormat="1" applyFont="1" applyFill="1" applyBorder="1" applyAlignment="1">
      <alignment horizontal="center" vertical="center"/>
    </xf>
    <xf numFmtId="0" fontId="0" fillId="0" borderId="3" xfId="0" applyFont="1" applyFill="1" applyBorder="1" applyAlignment="1">
      <alignment vertical="center" wrapText="1"/>
    </xf>
    <xf numFmtId="0" fontId="7" fillId="0" borderId="0" xfId="0" applyFont="1" applyFill="1" applyBorder="1" applyAlignment="1">
      <alignment horizontal="left" vertical="center" wrapText="1" indent="1"/>
    </xf>
    <xf numFmtId="8" fontId="7" fillId="0" borderId="0" xfId="0" applyNumberFormat="1" applyFont="1" applyFill="1" applyBorder="1" applyAlignment="1">
      <alignment horizontal="right" vertical="center"/>
    </xf>
    <xf numFmtId="14" fontId="7" fillId="0" borderId="0" xfId="0" applyNumberFormat="1" applyFont="1" applyFill="1" applyBorder="1" applyAlignment="1">
      <alignment horizontal="center" vertical="center"/>
    </xf>
    <xf numFmtId="0" fontId="0" fillId="0" borderId="0" xfId="0" applyFont="1" applyFill="1" applyBorder="1" applyAlignment="1">
      <alignment vertical="center" wrapText="1"/>
    </xf>
    <xf numFmtId="0" fontId="8" fillId="0" borderId="4" xfId="0" applyFont="1" applyFill="1" applyBorder="1" applyAlignment="1">
      <alignment horizontal="left" vertical="center" wrapText="1" indent="1"/>
    </xf>
    <xf numFmtId="0" fontId="7" fillId="0" borderId="2" xfId="0" applyFont="1" applyFill="1" applyBorder="1" applyAlignment="1">
      <alignment horizontal="center" vertical="center"/>
    </xf>
    <xf numFmtId="0" fontId="7" fillId="0" borderId="2" xfId="0" applyFont="1" applyFill="1" applyBorder="1" applyAlignment="1">
      <alignment vertical="center" wrapText="1"/>
    </xf>
    <xf numFmtId="0" fontId="9" fillId="0" borderId="7" xfId="0" applyFont="1" applyFill="1" applyBorder="1">
      <alignment vertical="center"/>
    </xf>
    <xf numFmtId="0" fontId="11" fillId="0" borderId="7" xfId="0" applyFont="1" applyFill="1" applyBorder="1">
      <alignment vertical="center"/>
    </xf>
    <xf numFmtId="0" fontId="11" fillId="0" borderId="7" xfId="0" applyFont="1" applyFill="1" applyBorder="1" applyAlignment="1">
      <alignment vertical="center" wrapText="1"/>
    </xf>
    <xf numFmtId="8" fontId="8" fillId="11" borderId="2" xfId="0" applyNumberFormat="1" applyFont="1" applyFill="1" applyBorder="1" applyAlignment="1">
      <alignment horizontal="right" vertical="center"/>
    </xf>
    <xf numFmtId="0" fontId="19" fillId="0" borderId="0" xfId="1" applyFill="1" applyAlignment="1" applyProtection="1">
      <alignment horizontal="left" vertical="center" indent="1"/>
    </xf>
    <xf numFmtId="0" fontId="18" fillId="0" borderId="0" xfId="0" applyFont="1" applyFill="1" applyBorder="1" applyAlignment="1">
      <alignment horizontal="center" vertical="center" wrapText="1"/>
    </xf>
    <xf numFmtId="164" fontId="5" fillId="9" borderId="2" xfId="0" applyNumberFormat="1" applyFont="1" applyFill="1" applyBorder="1" applyAlignment="1">
      <alignment horizontal="right" vertical="center" wrapText="1" indent="1"/>
    </xf>
    <xf numFmtId="164" fontId="12" fillId="8" borderId="12" xfId="0" applyNumberFormat="1" applyFont="1" applyFill="1" applyBorder="1" applyAlignment="1">
      <alignment horizontal="right" vertical="center" wrapText="1" indent="1"/>
    </xf>
    <xf numFmtId="164" fontId="0" fillId="8" borderId="0" xfId="0" applyNumberFormat="1" applyFont="1" applyFill="1" applyBorder="1" applyAlignment="1">
      <alignment horizontal="center" vertical="center"/>
    </xf>
    <xf numFmtId="164" fontId="5" fillId="9" borderId="17" xfId="0" applyNumberFormat="1" applyFont="1" applyFill="1" applyBorder="1" applyAlignment="1">
      <alignment horizontal="right" vertical="center" wrapText="1" indent="1"/>
    </xf>
    <xf numFmtId="164" fontId="0" fillId="0" borderId="18" xfId="0" applyNumberFormat="1" applyFont="1" applyFill="1" applyBorder="1" applyAlignment="1">
      <alignment horizontal="right" vertical="center" wrapText="1" indent="1"/>
    </xf>
    <xf numFmtId="0" fontId="0" fillId="0" borderId="0" xfId="0" applyNumberFormat="1">
      <alignment vertical="center"/>
    </xf>
    <xf numFmtId="0" fontId="4" fillId="0" borderId="0" xfId="2" applyNumberFormat="1" applyFill="1" applyAlignment="1">
      <alignment horizontal="right" vertical="center" indent="1"/>
    </xf>
    <xf numFmtId="0" fontId="0" fillId="0" borderId="0" xfId="0" applyNumberFormat="1" applyFont="1" applyFill="1" applyBorder="1" applyAlignment="1">
      <alignment horizontal="right" vertical="center" wrapText="1" indent="1"/>
    </xf>
    <xf numFmtId="16" fontId="0" fillId="0" borderId="0" xfId="0" applyNumberFormat="1">
      <alignment vertical="center"/>
    </xf>
    <xf numFmtId="164" fontId="0" fillId="0" borderId="0" xfId="0" applyNumberFormat="1">
      <alignment vertical="center"/>
    </xf>
    <xf numFmtId="0" fontId="0" fillId="0" borderId="0" xfId="0" applyAlignment="1">
      <alignment horizontal="center" vertical="center" wrapText="1"/>
    </xf>
    <xf numFmtId="0" fontId="18" fillId="0" borderId="0" xfId="0" applyFont="1" applyAlignment="1">
      <alignment horizontal="center" vertical="center" wrapText="1"/>
    </xf>
    <xf numFmtId="9" fontId="0" fillId="0" borderId="0" xfId="0" applyNumberFormat="1" applyAlignment="1">
      <alignment horizontal="center" vertical="center"/>
    </xf>
    <xf numFmtId="0" fontId="20" fillId="0" borderId="0" xfId="0" applyFont="1">
      <alignment vertical="center"/>
    </xf>
    <xf numFmtId="0" fontId="21" fillId="0" borderId="0" xfId="5">
      <alignment vertical="center"/>
    </xf>
    <xf numFmtId="0" fontId="22" fillId="0" borderId="0" xfId="0" applyFont="1">
      <alignment vertical="center"/>
    </xf>
    <xf numFmtId="42" fontId="3" fillId="7" borderId="8" xfId="0" applyNumberFormat="1" applyFont="1" applyFill="1" applyBorder="1" applyAlignment="1">
      <alignment horizontal="center" textRotation="90" wrapText="1"/>
    </xf>
    <xf numFmtId="42" fontId="3" fillId="7" borderId="9" xfId="0" applyNumberFormat="1" applyFont="1" applyFill="1" applyBorder="1" applyAlignment="1">
      <alignment horizontal="center" textRotation="90" wrapText="1"/>
    </xf>
    <xf numFmtId="42" fontId="3" fillId="7" borderId="10" xfId="0" applyNumberFormat="1" applyFont="1" applyFill="1" applyBorder="1" applyAlignment="1">
      <alignment horizontal="center" textRotation="90" wrapText="1"/>
    </xf>
    <xf numFmtId="42" fontId="3" fillId="5" borderId="8" xfId="0" applyNumberFormat="1" applyFont="1" applyFill="1" applyBorder="1" applyAlignment="1">
      <alignment horizontal="center" textRotation="90" wrapText="1"/>
    </xf>
    <xf numFmtId="42" fontId="3" fillId="5" borderId="9" xfId="0" applyNumberFormat="1" applyFont="1" applyFill="1" applyBorder="1" applyAlignment="1">
      <alignment horizontal="center" textRotation="90" wrapText="1"/>
    </xf>
    <xf numFmtId="42" fontId="3" fillId="5" borderId="10" xfId="0" applyNumberFormat="1" applyFont="1" applyFill="1" applyBorder="1" applyAlignment="1">
      <alignment horizontal="center" textRotation="90" wrapText="1"/>
    </xf>
    <xf numFmtId="42" fontId="3" fillId="6" borderId="8" xfId="0" applyNumberFormat="1" applyFont="1" applyFill="1" applyBorder="1" applyAlignment="1">
      <alignment horizontal="center" textRotation="90" wrapText="1"/>
    </xf>
    <xf numFmtId="42" fontId="3" fillId="6" borderId="9" xfId="0" applyNumberFormat="1" applyFont="1" applyFill="1" applyBorder="1" applyAlignment="1">
      <alignment horizontal="center" textRotation="90" wrapText="1"/>
    </xf>
    <xf numFmtId="42" fontId="3" fillId="6" borderId="10" xfId="0" applyNumberFormat="1" applyFont="1" applyFill="1" applyBorder="1" applyAlignment="1">
      <alignment horizontal="center" textRotation="90" wrapText="1"/>
    </xf>
    <xf numFmtId="42" fontId="3" fillId="3" borderId="8" xfId="0" applyNumberFormat="1" applyFont="1" applyFill="1" applyBorder="1" applyAlignment="1">
      <alignment horizontal="center" textRotation="90" wrapText="1"/>
    </xf>
    <xf numFmtId="42" fontId="3" fillId="3" borderId="9" xfId="0" applyNumberFormat="1" applyFont="1" applyFill="1" applyBorder="1" applyAlignment="1">
      <alignment horizontal="center" textRotation="90" wrapText="1"/>
    </xf>
    <xf numFmtId="42" fontId="3" fillId="3" borderId="10" xfId="0" applyNumberFormat="1" applyFont="1" applyFill="1" applyBorder="1" applyAlignment="1">
      <alignment horizontal="center" textRotation="90" wrapText="1"/>
    </xf>
    <xf numFmtId="42" fontId="3" fillId="4" borderId="8" xfId="0" applyNumberFormat="1" applyFont="1" applyFill="1" applyBorder="1" applyAlignment="1">
      <alignment horizontal="center" textRotation="90" wrapText="1"/>
    </xf>
    <xf numFmtId="42" fontId="3" fillId="4" borderId="9" xfId="0" applyNumberFormat="1" applyFont="1" applyFill="1" applyBorder="1" applyAlignment="1">
      <alignment horizontal="center" textRotation="90" wrapText="1"/>
    </xf>
    <xf numFmtId="42" fontId="3" fillId="4" borderId="10" xfId="0" applyNumberFormat="1" applyFont="1" applyFill="1" applyBorder="1" applyAlignment="1">
      <alignment horizontal="center" textRotation="90" wrapText="1"/>
    </xf>
    <xf numFmtId="42" fontId="6" fillId="3" borderId="8" xfId="0" applyNumberFormat="1" applyFont="1" applyFill="1" applyBorder="1" applyAlignment="1">
      <alignment horizontal="left" textRotation="90" wrapText="1"/>
    </xf>
    <xf numFmtId="42" fontId="6" fillId="3" borderId="9" xfId="0" applyNumberFormat="1" applyFont="1" applyFill="1" applyBorder="1" applyAlignment="1">
      <alignment horizontal="left" textRotation="90" wrapText="1"/>
    </xf>
    <xf numFmtId="42" fontId="6" fillId="3" borderId="10" xfId="0" applyNumberFormat="1" applyFont="1" applyFill="1" applyBorder="1" applyAlignment="1">
      <alignment horizontal="left" textRotation="90" wrapText="1"/>
    </xf>
    <xf numFmtId="42" fontId="6" fillId="4" borderId="8" xfId="0" applyNumberFormat="1" applyFont="1" applyFill="1" applyBorder="1" applyAlignment="1">
      <alignment horizontal="center" textRotation="90" wrapText="1"/>
    </xf>
    <xf numFmtId="42" fontId="6" fillId="4" borderId="9" xfId="0" applyNumberFormat="1" applyFont="1" applyFill="1" applyBorder="1" applyAlignment="1">
      <alignment horizontal="center" textRotation="90" wrapText="1"/>
    </xf>
    <xf numFmtId="42" fontId="6" fillId="4" borderId="10" xfId="0" applyNumberFormat="1" applyFont="1" applyFill="1" applyBorder="1" applyAlignment="1">
      <alignment horizontal="center" textRotation="90" wrapText="1"/>
    </xf>
    <xf numFmtId="42" fontId="6" fillId="5" borderId="8" xfId="0" applyNumberFormat="1" applyFont="1" applyFill="1" applyBorder="1" applyAlignment="1">
      <alignment horizontal="center" textRotation="90" wrapText="1"/>
    </xf>
    <xf numFmtId="42" fontId="6" fillId="5" borderId="9" xfId="0" applyNumberFormat="1" applyFont="1" applyFill="1" applyBorder="1" applyAlignment="1">
      <alignment horizontal="center" textRotation="90" wrapText="1"/>
    </xf>
    <xf numFmtId="42" fontId="6" fillId="5" borderId="10" xfId="0" applyNumberFormat="1" applyFont="1" applyFill="1" applyBorder="1" applyAlignment="1">
      <alignment horizontal="center" textRotation="90" wrapText="1"/>
    </xf>
    <xf numFmtId="42" fontId="6" fillId="6" borderId="8" xfId="0" applyNumberFormat="1" applyFont="1" applyFill="1" applyBorder="1" applyAlignment="1">
      <alignment horizontal="center" textRotation="90" wrapText="1"/>
    </xf>
    <xf numFmtId="42" fontId="6" fillId="6" borderId="9" xfId="0" applyNumberFormat="1" applyFont="1" applyFill="1" applyBorder="1" applyAlignment="1">
      <alignment horizontal="center" textRotation="90" wrapText="1"/>
    </xf>
    <xf numFmtId="42" fontId="6" fillId="6" borderId="10" xfId="0" applyNumberFormat="1" applyFont="1" applyFill="1" applyBorder="1" applyAlignment="1">
      <alignment horizontal="center" textRotation="90" wrapText="1"/>
    </xf>
    <xf numFmtId="42" fontId="6" fillId="7" borderId="8" xfId="0" applyNumberFormat="1" applyFont="1" applyFill="1" applyBorder="1" applyAlignment="1">
      <alignment horizontal="center" textRotation="90" wrapText="1"/>
    </xf>
    <xf numFmtId="42" fontId="6" fillId="7" borderId="9" xfId="0" applyNumberFormat="1" applyFont="1" applyFill="1" applyBorder="1" applyAlignment="1">
      <alignment horizontal="center" textRotation="90" wrapText="1"/>
    </xf>
    <xf numFmtId="42" fontId="6" fillId="7" borderId="10" xfId="0" applyNumberFormat="1" applyFont="1" applyFill="1" applyBorder="1" applyAlignment="1">
      <alignment horizontal="center" textRotation="90" wrapText="1"/>
    </xf>
    <xf numFmtId="0" fontId="0" fillId="0" borderId="0" xfId="0" applyAlignment="1">
      <alignment vertical="center" wrapText="1"/>
    </xf>
    <xf numFmtId="0" fontId="23" fillId="0" borderId="0" xfId="0" applyFont="1" applyAlignment="1">
      <alignment vertical="center"/>
    </xf>
  </cellXfs>
  <cellStyles count="6">
    <cellStyle name="Heading 1" xfId="1" builtinId="16" customBuiltin="1"/>
    <cellStyle name="Heading 2" xfId="2" builtinId="17" customBuiltin="1"/>
    <cellStyle name="Heading 3" xfId="4" builtinId="18" customBuiltin="1"/>
    <cellStyle name="Hyperlink" xfId="5" builtinId="8"/>
    <cellStyle name="Input" xfId="3" builtinId="20"/>
    <cellStyle name="Normal" xfId="0" builtinId="0" customBuiltin="1"/>
  </cellStyles>
  <dxfs count="12">
    <dxf>
      <numFmt numFmtId="164" formatCode="&quot;$&quot;#,##0.00"/>
    </dxf>
    <dxf>
      <numFmt numFmtId="164" formatCode="&quot;$&quot;#,##0.00"/>
    </dxf>
    <dxf>
      <numFmt numFmtId="164" formatCode="&quot;$&quot;#,##0.00"/>
    </dxf>
    <dxf>
      <numFmt numFmtId="164" formatCode="&quot;$&quot;#,##0.00"/>
    </dxf>
    <dxf>
      <font>
        <strike val="0"/>
        <outline val="0"/>
        <shadow val="0"/>
        <u val="none"/>
        <vertAlign val="baseline"/>
        <sz val="9"/>
        <color theme="1" tint="0.34998626667073579"/>
        <name val="Arial"/>
        <scheme val="major"/>
      </font>
      <alignment horizontal="center" vertical="center" textRotation="0" wrapText="1" indent="0" justifyLastLine="0" shrinkToFit="0" readingOrder="0"/>
    </dxf>
    <dxf>
      <font>
        <strike val="0"/>
        <outline val="0"/>
        <shadow val="0"/>
        <u val="none"/>
        <vertAlign val="baseline"/>
        <sz val="9"/>
        <color theme="1" tint="0.34998626667073579"/>
        <name val="Arial"/>
        <scheme val="major"/>
      </font>
      <alignment horizontal="center" vertical="center" textRotation="0" wrapText="1" indent="0" justifyLastLine="0" shrinkToFit="0" readingOrder="0"/>
    </dxf>
    <dxf>
      <fill>
        <patternFill>
          <bgColor theme="2"/>
        </patternFill>
      </fill>
    </dxf>
    <dxf>
      <fill>
        <patternFill>
          <bgColor theme="2" tint="-9.9948118533890809E-2"/>
        </patternFill>
      </fill>
    </dxf>
    <dxf>
      <font>
        <b val="0"/>
        <i val="0"/>
        <color theme="1" tint="0.34998626667073579"/>
      </font>
      <fill>
        <patternFill>
          <bgColor theme="2" tint="-9.9948118533890809E-2"/>
        </patternFill>
      </fill>
      <border diagonalUp="0" diagonalDown="0">
        <left/>
        <right/>
        <top/>
        <bottom/>
        <vertical/>
        <horizontal/>
      </border>
    </dxf>
    <dxf>
      <font>
        <b/>
        <i val="0"/>
        <color theme="1" tint="0.34998626667073579"/>
      </font>
      <fill>
        <patternFill>
          <bgColor theme="2" tint="-9.9948118533890809E-2"/>
        </patternFill>
      </fill>
      <border>
        <top style="thin">
          <color theme="0" tint="-0.24994659260841701"/>
        </top>
        <bottom style="medium">
          <color theme="1" tint="0.499984740745262"/>
        </bottom>
      </border>
    </dxf>
    <dxf>
      <font>
        <b/>
        <i val="0"/>
        <color theme="1" tint="0.34998626667073579"/>
      </font>
      <fill>
        <patternFill patternType="none">
          <bgColor auto="1"/>
        </patternFill>
      </fill>
      <border diagonalUp="0" diagonalDown="0">
        <left/>
        <right/>
        <top/>
        <bottom style="medium">
          <color theme="1" tint="0.499984740745262"/>
        </bottom>
        <vertical/>
        <horizontal/>
      </border>
    </dxf>
    <dxf>
      <font>
        <b val="0"/>
        <i val="0"/>
        <color theme="1" tint="0.34998626667073579"/>
      </font>
      <fill>
        <patternFill patternType="none">
          <bgColor auto="1"/>
        </patternFill>
      </fill>
      <border diagonalUp="0" diagonalDown="0">
        <left style="medium">
          <color theme="1" tint="0.499984740745262"/>
        </left>
        <right/>
        <top style="medium">
          <color theme="1" tint="0.499984740745262"/>
        </top>
        <bottom style="medium">
          <color theme="1" tint="0.499984740745262"/>
        </bottom>
        <vertical/>
        <horizontal/>
      </border>
    </dxf>
  </dxfs>
  <tableStyles count="1" defaultTableStyle="Project Budget" defaultPivotStyle="PivotStyleMedium1">
    <tableStyle name="Project Budget" pivot="0" count="6">
      <tableStyleElement type="wholeTable" dxfId="11"/>
      <tableStyleElement type="headerRow" dxfId="10"/>
      <tableStyleElement type="totalRow" dxfId="9"/>
      <tableStyleElement type="lastColumn" dxfId="8"/>
      <tableStyleElement type="firstRowStripe" dxfId="7"/>
      <tableStyleElement type="firstTotalCell"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'Data Worksheet'!$F$4</c:f>
              <c:strCache>
                <c:ptCount val="1"/>
                <c:pt idx="0">
                  <c:v>ACTUAL CUMULATIVE COST</c:v>
                </c:pt>
              </c:strCache>
            </c:strRef>
          </c:tx>
          <c:spPr>
            <a:ln>
              <a:solidFill>
                <a:schemeClr val="accent4"/>
              </a:solidFill>
            </a:ln>
          </c:spPr>
          <c:marker>
            <c:spPr>
              <a:noFill/>
              <a:ln>
                <a:noFill/>
              </a:ln>
            </c:spPr>
          </c:marker>
          <c:cat>
            <c:numRef>
              <c:f>'Data Worksheet'!$B$5:$B$15</c:f>
              <c:numCache>
                <c:formatCode>General</c:formatCode>
                <c:ptCount val="11"/>
                <c:pt idx="0">
                  <c:v>1</c:v>
                </c:pt>
                <c:pt idx="1">
                  <c:v>2</c:v>
                </c:pt>
                <c:pt idx="2">
                  <c:v>3</c:v>
                </c:pt>
                <c:pt idx="3">
                  <c:v>4</c:v>
                </c:pt>
                <c:pt idx="4">
                  <c:v>5</c:v>
                </c:pt>
                <c:pt idx="5">
                  <c:v>6</c:v>
                </c:pt>
                <c:pt idx="6">
                  <c:v>7</c:v>
                </c:pt>
                <c:pt idx="7">
                  <c:v>8</c:v>
                </c:pt>
                <c:pt idx="8">
                  <c:v>9</c:v>
                </c:pt>
                <c:pt idx="9">
                  <c:v>10</c:v>
                </c:pt>
              </c:numCache>
            </c:numRef>
          </c:cat>
          <c:val>
            <c:numRef>
              <c:f>'Data Worksheet'!$F$5:$F$15</c:f>
              <c:numCache>
                <c:formatCode>"$"#,##0.00</c:formatCode>
                <c:ptCount val="11"/>
                <c:pt idx="0">
                  <c:v>2237</c:v>
                </c:pt>
                <c:pt idx="1">
                  <c:v>4837</c:v>
                </c:pt>
                <c:pt idx="2">
                  <c:v>8840</c:v>
                </c:pt>
                <c:pt idx="3">
                  <c:v>50847</c:v>
                </c:pt>
                <c:pt idx="4">
                  <c:v>1419441</c:v>
                </c:pt>
                <c:pt idx="5">
                  <c:v>2078396.67</c:v>
                </c:pt>
                <c:pt idx="6">
                  <c:v>2078696.67</c:v>
                </c:pt>
                <c:pt idx="7">
                  <c:v>2079763.47</c:v>
                </c:pt>
                <c:pt idx="8">
                  <c:v>2111856.4699999997</c:v>
                </c:pt>
                <c:pt idx="9">
                  <c:v>2121897.4699999997</c:v>
                </c:pt>
              </c:numCache>
            </c:numRef>
          </c:val>
          <c:smooth val="0"/>
        </c:ser>
        <c:ser>
          <c:idx val="0"/>
          <c:order val="1"/>
          <c:tx>
            <c:strRef>
              <c:f>'Data Worksheet'!$E$4</c:f>
              <c:strCache>
                <c:ptCount val="1"/>
                <c:pt idx="0">
                  <c:v>PROJECTED CUMULATIVE COST</c:v>
                </c:pt>
              </c:strCache>
            </c:strRef>
          </c:tx>
          <c:spPr>
            <a:ln>
              <a:solidFill>
                <a:schemeClr val="accent2"/>
              </a:solidFill>
            </a:ln>
          </c:spPr>
          <c:marker>
            <c:spPr>
              <a:noFill/>
              <a:ln>
                <a:noFill/>
              </a:ln>
            </c:spPr>
          </c:marker>
          <c:cat>
            <c:numRef>
              <c:f>'Data Worksheet'!$B$5:$B$15</c:f>
              <c:numCache>
                <c:formatCode>General</c:formatCode>
                <c:ptCount val="11"/>
                <c:pt idx="0">
                  <c:v>1</c:v>
                </c:pt>
                <c:pt idx="1">
                  <c:v>2</c:v>
                </c:pt>
                <c:pt idx="2">
                  <c:v>3</c:v>
                </c:pt>
                <c:pt idx="3">
                  <c:v>4</c:v>
                </c:pt>
                <c:pt idx="4">
                  <c:v>5</c:v>
                </c:pt>
                <c:pt idx="5">
                  <c:v>6</c:v>
                </c:pt>
                <c:pt idx="6">
                  <c:v>7</c:v>
                </c:pt>
                <c:pt idx="7">
                  <c:v>8</c:v>
                </c:pt>
                <c:pt idx="8">
                  <c:v>9</c:v>
                </c:pt>
                <c:pt idx="9">
                  <c:v>10</c:v>
                </c:pt>
              </c:numCache>
            </c:numRef>
          </c:cat>
          <c:val>
            <c:numRef>
              <c:f>'Data Worksheet'!$E$5:$E$19</c:f>
              <c:numCache>
                <c:formatCode>"$"#,##0.00</c:formatCode>
                <c:ptCount val="15"/>
                <c:pt idx="0">
                  <c:v>2227.5</c:v>
                </c:pt>
                <c:pt idx="1">
                  <c:v>4817.5</c:v>
                </c:pt>
                <c:pt idx="2">
                  <c:v>9070</c:v>
                </c:pt>
                <c:pt idx="3">
                  <c:v>48957.5</c:v>
                </c:pt>
                <c:pt idx="4">
                  <c:v>1313086</c:v>
                </c:pt>
                <c:pt idx="5">
                  <c:v>2083040</c:v>
                </c:pt>
                <c:pt idx="6">
                  <c:v>2083040</c:v>
                </c:pt>
                <c:pt idx="7">
                  <c:v>2083040</c:v>
                </c:pt>
                <c:pt idx="8">
                  <c:v>2113692.5</c:v>
                </c:pt>
                <c:pt idx="9">
                  <c:v>2123735</c:v>
                </c:pt>
              </c:numCache>
            </c:numRef>
          </c:val>
          <c:smooth val="0"/>
        </c:ser>
        <c:dLbls>
          <c:showLegendKey val="0"/>
          <c:showVal val="0"/>
          <c:showCatName val="0"/>
          <c:showSerName val="0"/>
          <c:showPercent val="0"/>
          <c:showBubbleSize val="0"/>
        </c:dLbls>
        <c:marker val="1"/>
        <c:smooth val="0"/>
        <c:axId val="197425936"/>
        <c:axId val="156821552"/>
      </c:lineChart>
      <c:catAx>
        <c:axId val="197425936"/>
        <c:scaling>
          <c:orientation val="minMax"/>
        </c:scaling>
        <c:delete val="0"/>
        <c:axPos val="b"/>
        <c:title>
          <c:tx>
            <c:rich>
              <a:bodyPr/>
              <a:lstStyle/>
              <a:p>
                <a:pPr>
                  <a:defRPr/>
                </a:pPr>
                <a:r>
                  <a:rPr lang="en-US"/>
                  <a:t>WEEK OF PROJECT</a:t>
                </a:r>
              </a:p>
            </c:rich>
          </c:tx>
          <c:layout>
            <c:manualLayout>
              <c:xMode val="edge"/>
              <c:yMode val="edge"/>
              <c:x val="0.42727293599218141"/>
              <c:y val="0.92509109756342678"/>
            </c:manualLayout>
          </c:layout>
          <c:overlay val="0"/>
        </c:title>
        <c:numFmt formatCode="General" sourceLinked="1"/>
        <c:majorTickMark val="cross"/>
        <c:minorTickMark val="none"/>
        <c:tickLblPos val="nextTo"/>
        <c:spPr>
          <a:ln>
            <a:solidFill>
              <a:schemeClr val="bg1">
                <a:lumMod val="75000"/>
              </a:schemeClr>
            </a:solidFill>
          </a:ln>
        </c:spPr>
        <c:crossAx val="156821552"/>
        <c:crosses val="autoZero"/>
        <c:auto val="1"/>
        <c:lblAlgn val="ctr"/>
        <c:lblOffset val="100"/>
        <c:noMultiLvlLbl val="0"/>
      </c:catAx>
      <c:valAx>
        <c:axId val="156821552"/>
        <c:scaling>
          <c:orientation val="minMax"/>
        </c:scaling>
        <c:delete val="0"/>
        <c:axPos val="l"/>
        <c:majorGridlines>
          <c:spPr>
            <a:ln>
              <a:solidFill>
                <a:schemeClr val="bg1">
                  <a:lumMod val="75000"/>
                </a:schemeClr>
              </a:solidFill>
            </a:ln>
          </c:spPr>
        </c:majorGridlines>
        <c:title>
          <c:tx>
            <c:rich>
              <a:bodyPr rot="-5400000" vert="horz"/>
              <a:lstStyle/>
              <a:p>
                <a:pPr>
                  <a:defRPr/>
                </a:pPr>
                <a:r>
                  <a:rPr lang="en-US"/>
                  <a:t>COST</a:t>
                </a:r>
              </a:p>
            </c:rich>
          </c:tx>
          <c:layout>
            <c:manualLayout>
              <c:xMode val="edge"/>
              <c:yMode val="edge"/>
              <c:x val="2.7378504920208364E-3"/>
              <c:y val="0.29153944298629336"/>
            </c:manualLayout>
          </c:layout>
          <c:overlay val="0"/>
        </c:title>
        <c:numFmt formatCode="&quot;$&quot;#,##0.00" sourceLinked="1"/>
        <c:majorTickMark val="out"/>
        <c:minorTickMark val="none"/>
        <c:tickLblPos val="nextTo"/>
        <c:spPr>
          <a:noFill/>
          <a:ln>
            <a:solidFill>
              <a:schemeClr val="bg1">
                <a:lumMod val="75000"/>
              </a:schemeClr>
            </a:solidFill>
          </a:ln>
        </c:spPr>
        <c:crossAx val="197425936"/>
        <c:crosses val="autoZero"/>
        <c:crossBetween val="between"/>
        <c:majorUnit val="1000"/>
      </c:valAx>
      <c:spPr>
        <a:noFill/>
      </c:spPr>
    </c:plotArea>
    <c:legend>
      <c:legendPos val="b"/>
      <c:layout>
        <c:manualLayout>
          <c:xMode val="edge"/>
          <c:yMode val="edge"/>
          <c:x val="0.72155510770261899"/>
          <c:y val="0.88541211536611431"/>
          <c:w val="0.2659930620281587"/>
          <c:h val="0.10677420530766987"/>
        </c:manualLayout>
      </c:layout>
      <c:overlay val="0"/>
      <c:spPr>
        <a:ln>
          <a:noFill/>
        </a:ln>
      </c:spPr>
    </c:legend>
    <c:plotVisOnly val="1"/>
    <c:dispBlanksAs val="gap"/>
    <c:showDLblsOverMax val="0"/>
  </c:chart>
  <c:spPr>
    <a:noFill/>
    <a:ln>
      <a:noFill/>
    </a:ln>
  </c:spPr>
  <c:txPr>
    <a:bodyPr/>
    <a:lstStyle/>
    <a:p>
      <a:pPr>
        <a:defRPr spc="10" baseline="0">
          <a:solidFill>
            <a:schemeClr val="tx1">
              <a:lumMod val="65000"/>
              <a:lumOff val="35000"/>
            </a:schemeClr>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'Data Worksheet'!$D$4</c:f>
              <c:strCache>
                <c:ptCount val="1"/>
                <c:pt idx="0">
                  <c:v>ACTUAL WEEKLY COST</c:v>
                </c:pt>
              </c:strCache>
            </c:strRef>
          </c:tx>
          <c:spPr>
            <a:ln>
              <a:solidFill>
                <a:schemeClr val="accent3"/>
              </a:solidFill>
            </a:ln>
          </c:spPr>
          <c:marker>
            <c:spPr>
              <a:noFill/>
              <a:ln>
                <a:noFill/>
              </a:ln>
            </c:spPr>
          </c:marker>
          <c:cat>
            <c:numRef>
              <c:f>'Data Worksheet'!$B$5:$B$15</c:f>
              <c:numCache>
                <c:formatCode>General</c:formatCode>
                <c:ptCount val="11"/>
                <c:pt idx="0">
                  <c:v>1</c:v>
                </c:pt>
                <c:pt idx="1">
                  <c:v>2</c:v>
                </c:pt>
                <c:pt idx="2">
                  <c:v>3</c:v>
                </c:pt>
                <c:pt idx="3">
                  <c:v>4</c:v>
                </c:pt>
                <c:pt idx="4">
                  <c:v>5</c:v>
                </c:pt>
                <c:pt idx="5">
                  <c:v>6</c:v>
                </c:pt>
                <c:pt idx="6">
                  <c:v>7</c:v>
                </c:pt>
                <c:pt idx="7">
                  <c:v>8</c:v>
                </c:pt>
                <c:pt idx="8">
                  <c:v>9</c:v>
                </c:pt>
                <c:pt idx="9">
                  <c:v>10</c:v>
                </c:pt>
              </c:numCache>
            </c:numRef>
          </c:cat>
          <c:val>
            <c:numRef>
              <c:f>'Data Worksheet'!$D$5:$D$15</c:f>
              <c:numCache>
                <c:formatCode>"$"#,##0.00</c:formatCode>
                <c:ptCount val="11"/>
                <c:pt idx="0">
                  <c:v>2237</c:v>
                </c:pt>
                <c:pt idx="1">
                  <c:v>2600</c:v>
                </c:pt>
                <c:pt idx="2">
                  <c:v>4003</c:v>
                </c:pt>
                <c:pt idx="3">
                  <c:v>42007</c:v>
                </c:pt>
                <c:pt idx="4">
                  <c:v>1368594</c:v>
                </c:pt>
                <c:pt idx="5">
                  <c:v>658955.67000000004</c:v>
                </c:pt>
                <c:pt idx="6">
                  <c:v>300</c:v>
                </c:pt>
                <c:pt idx="7">
                  <c:v>1066.8</c:v>
                </c:pt>
                <c:pt idx="8">
                  <c:v>32093</c:v>
                </c:pt>
                <c:pt idx="9">
                  <c:v>10041</c:v>
                </c:pt>
              </c:numCache>
            </c:numRef>
          </c:val>
          <c:smooth val="0"/>
        </c:ser>
        <c:ser>
          <c:idx val="0"/>
          <c:order val="1"/>
          <c:tx>
            <c:strRef>
              <c:f>'Data Worksheet'!$C$4</c:f>
              <c:strCache>
                <c:ptCount val="1"/>
                <c:pt idx="0">
                  <c:v>PROJECTED WEEKLY COST</c:v>
                </c:pt>
              </c:strCache>
            </c:strRef>
          </c:tx>
          <c:spPr>
            <a:ln>
              <a:solidFill>
                <a:schemeClr val="accent5"/>
              </a:solidFill>
            </a:ln>
          </c:spPr>
          <c:marker>
            <c:spPr>
              <a:noFill/>
              <a:ln>
                <a:noFill/>
              </a:ln>
            </c:spPr>
          </c:marker>
          <c:cat>
            <c:numRef>
              <c:f>'Data Worksheet'!$B$5:$B$15</c:f>
              <c:numCache>
                <c:formatCode>General</c:formatCode>
                <c:ptCount val="11"/>
                <c:pt idx="0">
                  <c:v>1</c:v>
                </c:pt>
                <c:pt idx="1">
                  <c:v>2</c:v>
                </c:pt>
                <c:pt idx="2">
                  <c:v>3</c:v>
                </c:pt>
                <c:pt idx="3">
                  <c:v>4</c:v>
                </c:pt>
                <c:pt idx="4">
                  <c:v>5</c:v>
                </c:pt>
                <c:pt idx="5">
                  <c:v>6</c:v>
                </c:pt>
                <c:pt idx="6">
                  <c:v>7</c:v>
                </c:pt>
                <c:pt idx="7">
                  <c:v>8</c:v>
                </c:pt>
                <c:pt idx="8">
                  <c:v>9</c:v>
                </c:pt>
                <c:pt idx="9">
                  <c:v>10</c:v>
                </c:pt>
              </c:numCache>
            </c:numRef>
          </c:cat>
          <c:val>
            <c:numRef>
              <c:f>'Data Worksheet'!$C$5:$C$15</c:f>
              <c:numCache>
                <c:formatCode>"$"#,##0.00</c:formatCode>
                <c:ptCount val="11"/>
                <c:pt idx="0">
                  <c:v>2227.5</c:v>
                </c:pt>
                <c:pt idx="1">
                  <c:v>2590</c:v>
                </c:pt>
                <c:pt idx="2">
                  <c:v>4252.5</c:v>
                </c:pt>
                <c:pt idx="3">
                  <c:v>39887.5</c:v>
                </c:pt>
                <c:pt idx="4">
                  <c:v>1264128.5</c:v>
                </c:pt>
                <c:pt idx="5">
                  <c:v>769954</c:v>
                </c:pt>
                <c:pt idx="6">
                  <c:v>0</c:v>
                </c:pt>
                <c:pt idx="7">
                  <c:v>0</c:v>
                </c:pt>
                <c:pt idx="8">
                  <c:v>30652.5</c:v>
                </c:pt>
                <c:pt idx="9">
                  <c:v>10042.5</c:v>
                </c:pt>
              </c:numCache>
            </c:numRef>
          </c:val>
          <c:smooth val="0"/>
        </c:ser>
        <c:dLbls>
          <c:showLegendKey val="0"/>
          <c:showVal val="0"/>
          <c:showCatName val="0"/>
          <c:showSerName val="0"/>
          <c:showPercent val="0"/>
          <c:showBubbleSize val="0"/>
        </c:dLbls>
        <c:marker val="1"/>
        <c:smooth val="0"/>
        <c:axId val="198042408"/>
        <c:axId val="196974672"/>
      </c:lineChart>
      <c:catAx>
        <c:axId val="198042408"/>
        <c:scaling>
          <c:orientation val="minMax"/>
        </c:scaling>
        <c:delete val="0"/>
        <c:axPos val="b"/>
        <c:title>
          <c:tx>
            <c:rich>
              <a:bodyPr/>
              <a:lstStyle/>
              <a:p>
                <a:pPr>
                  <a:defRPr/>
                </a:pPr>
                <a:r>
                  <a:rPr lang="en-US"/>
                  <a:t>MONTH OF PROJECT</a:t>
                </a:r>
              </a:p>
            </c:rich>
          </c:tx>
          <c:layout>
            <c:manualLayout>
              <c:xMode val="edge"/>
              <c:yMode val="edge"/>
              <c:x val="0.43274868362193947"/>
              <c:y val="0.84515234903595526"/>
            </c:manualLayout>
          </c:layout>
          <c:overlay val="0"/>
        </c:title>
        <c:numFmt formatCode="General" sourceLinked="1"/>
        <c:majorTickMark val="cross"/>
        <c:minorTickMark val="none"/>
        <c:tickLblPos val="nextTo"/>
        <c:spPr>
          <a:noFill/>
          <a:ln>
            <a:solidFill>
              <a:schemeClr val="bg1">
                <a:lumMod val="75000"/>
              </a:schemeClr>
            </a:solidFill>
          </a:ln>
        </c:spPr>
        <c:crossAx val="196974672"/>
        <c:crosses val="autoZero"/>
        <c:auto val="1"/>
        <c:lblAlgn val="ctr"/>
        <c:lblOffset val="100"/>
        <c:noMultiLvlLbl val="0"/>
      </c:catAx>
      <c:valAx>
        <c:axId val="196974672"/>
        <c:scaling>
          <c:orientation val="minMax"/>
        </c:scaling>
        <c:delete val="0"/>
        <c:axPos val="l"/>
        <c:majorGridlines>
          <c:spPr>
            <a:ln>
              <a:solidFill>
                <a:schemeClr val="bg1">
                  <a:lumMod val="75000"/>
                </a:schemeClr>
              </a:solidFill>
            </a:ln>
          </c:spPr>
        </c:majorGridlines>
        <c:title>
          <c:tx>
            <c:rich>
              <a:bodyPr rot="-5400000" vert="horz"/>
              <a:lstStyle/>
              <a:p>
                <a:pPr>
                  <a:defRPr/>
                </a:pPr>
                <a:r>
                  <a:rPr lang="en-US"/>
                  <a:t>COST</a:t>
                </a:r>
              </a:p>
            </c:rich>
          </c:tx>
          <c:layout>
            <c:manualLayout>
              <c:xMode val="edge"/>
              <c:yMode val="edge"/>
              <c:x val="0"/>
              <c:y val="0.29928186060075823"/>
            </c:manualLayout>
          </c:layout>
          <c:overlay val="0"/>
        </c:title>
        <c:numFmt formatCode="&quot;$&quot;#,##0.00" sourceLinked="1"/>
        <c:majorTickMark val="out"/>
        <c:minorTickMark val="none"/>
        <c:tickLblPos val="nextTo"/>
        <c:spPr>
          <a:noFill/>
          <a:ln>
            <a:solidFill>
              <a:schemeClr val="bg1">
                <a:lumMod val="75000"/>
              </a:schemeClr>
            </a:solidFill>
          </a:ln>
        </c:spPr>
        <c:txPr>
          <a:bodyPr rot="0"/>
          <a:lstStyle/>
          <a:p>
            <a:pPr>
              <a:defRPr/>
            </a:pPr>
            <a:endParaRPr lang="en-US"/>
          </a:p>
        </c:txPr>
        <c:crossAx val="198042408"/>
        <c:crosses val="autoZero"/>
        <c:crossBetween val="between"/>
        <c:majorUnit val="1000"/>
      </c:valAx>
      <c:spPr>
        <a:noFill/>
      </c:spPr>
    </c:plotArea>
    <c:legend>
      <c:legendPos val="b"/>
      <c:layout>
        <c:manualLayout>
          <c:xMode val="edge"/>
          <c:yMode val="edge"/>
          <c:x val="0.72112445903194344"/>
          <c:y val="0.81485727778837336"/>
          <c:w val="0.26289770246891625"/>
          <c:h val="0.1234355048179531"/>
        </c:manualLayout>
      </c:layout>
      <c:overlay val="0"/>
    </c:legend>
    <c:plotVisOnly val="1"/>
    <c:dispBlanksAs val="gap"/>
    <c:showDLblsOverMax val="0"/>
  </c:chart>
  <c:spPr>
    <a:noFill/>
    <a:ln>
      <a:noFill/>
    </a:ln>
  </c:spPr>
  <c:txPr>
    <a:bodyPr/>
    <a:lstStyle/>
    <a:p>
      <a:pPr>
        <a:defRPr sz="1000" spc="10" baseline="0">
          <a:solidFill>
            <a:schemeClr val="tx1">
              <a:lumMod val="65000"/>
              <a:lumOff val="35000"/>
            </a:schemeClr>
          </a:solidFill>
          <a:latin typeface="+mn-lt"/>
        </a:defRPr>
      </a:pPr>
      <a:endParaRPr lang="en-US"/>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180974</xdr:colOff>
      <xdr:row>26</xdr:row>
      <xdr:rowOff>152399</xdr:rowOff>
    </xdr:from>
    <xdr:to>
      <xdr:col>16</xdr:col>
      <xdr:colOff>133350</xdr:colOff>
      <xdr:row>60</xdr:row>
      <xdr:rowOff>95250</xdr:rowOff>
    </xdr:to>
    <xdr:graphicFrame macro="">
      <xdr:nvGraphicFramePr>
        <xdr:cNvPr id="3" name="chtCumulativeCost" descr="Line chart showing actual versus projected cumulative costs." title="Cumulative Cos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180974</xdr:colOff>
      <xdr:row>5</xdr:row>
      <xdr:rowOff>152399</xdr:rowOff>
    </xdr:from>
    <xdr:to>
      <xdr:col>16</xdr:col>
      <xdr:colOff>133349</xdr:colOff>
      <xdr:row>23</xdr:row>
      <xdr:rowOff>152399</xdr:rowOff>
    </xdr:to>
    <xdr:graphicFrame macro="">
      <xdr:nvGraphicFramePr>
        <xdr:cNvPr id="4" name="chtMonthlyCost" descr="Line chart showing actual versus projected monthly cost." title="Monthly Cos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blCosts" displayName="tblCosts" ref="B4:F15" totalsRowShown="0" headerRowDxfId="5">
  <autoFilter ref="B4:F15"/>
  <tableColumns count="5">
    <tableColumn id="1" name="WEEK"/>
    <tableColumn id="2" name="PROJECTED WEEKLY COST"/>
    <tableColumn id="4" name="ACTUAL WEEKLY COST"/>
    <tableColumn id="3" name="PROJECTED CUMULATIVE COST"/>
    <tableColumn id="5" name="ACTUAL CUMULATIVE COST"/>
  </tableColumns>
  <tableStyleInfo name="Project Budget" showFirstColumn="0" showLastColumn="0" showRowStripes="1" showColumnStripes="0"/>
  <extLst>
    <ext xmlns:x14="http://schemas.microsoft.com/office/spreadsheetml/2009/9/main" uri="{504A1905-F514-4f6f-8877-14C23A59335A}">
      <x14:table altText="Project Data Worksheet" altTextSummary="Enter the projected, actual &amp; cumulative costs here and it will be charted on the Cumulative Project Costs sheet."/>
    </ext>
  </extLst>
</table>
</file>

<file path=xl/tables/table2.xml><?xml version="1.0" encoding="utf-8"?>
<table xmlns="http://schemas.openxmlformats.org/spreadsheetml/2006/main" id="2" name="tblCosts3" displayName="tblCosts3" ref="A4:J16" totalsRowShown="0" headerRowDxfId="4">
  <autoFilter ref="A4:J16"/>
  <tableColumns count="10">
    <tableColumn id="1" name="WEEK"/>
    <tableColumn id="2" name="PROJECTED WEEKLY COST"/>
    <tableColumn id="4" name="ACTUAL WEEKLY COST"/>
    <tableColumn id="3" name="PROJECTED CUMULATIVE COST"/>
    <tableColumn id="5" name="ACTUAL CUMULATIVE COST (ACWP)"/>
    <tableColumn id="6" name="% Complete "/>
    <tableColumn id="7" name="BCWP" dataDxfId="3">
      <calculatedColumnFormula>D5*F5</calculatedColumnFormula>
    </tableColumn>
    <tableColumn id="8" name="COST VARIANCE _x000a_(BCWP - ACWP)" dataDxfId="2">
      <calculatedColumnFormula>G5-C5</calculatedColumnFormula>
    </tableColumn>
    <tableColumn id="9" name="SCHEDULE VARIANCE_x000a_(BCWP - BCWS)" dataDxfId="1">
      <calculatedColumnFormula>G5-J5</calculatedColumnFormula>
    </tableColumn>
    <tableColumn id="10" name="BCWS " dataDxfId="0">
      <calculatedColumnFormula>D9</calculatedColumnFormula>
    </tableColumn>
  </tableColumns>
  <tableStyleInfo name="Project Budget" showFirstColumn="0" showLastColumn="0" showRowStripes="1" showColumnStripes="0"/>
  <extLst>
    <ext xmlns:x14="http://schemas.microsoft.com/office/spreadsheetml/2009/9/main" uri="{504A1905-F514-4f6f-8877-14C23A59335A}">
      <x14:table altText="Project Data Worksheet" altTextSummary="Enter the projected, actual &amp; cumulative costs here and it will be charted on the Cumulative Project Costs sheet."/>
    </ext>
  </extLst>
</table>
</file>

<file path=xl/theme/theme1.xml><?xml version="1.0" encoding="utf-8"?>
<a:theme xmlns:a="http://schemas.openxmlformats.org/drawingml/2006/main" name="Office Theme">
  <a:themeElements>
    <a:clrScheme name="Project Budget">
      <a:dk1>
        <a:srgbClr val="000000"/>
      </a:dk1>
      <a:lt1>
        <a:srgbClr val="FFFFFF"/>
      </a:lt1>
      <a:dk2>
        <a:srgbClr val="510B0C"/>
      </a:dk2>
      <a:lt2>
        <a:srgbClr val="FCFAF3"/>
      </a:lt2>
      <a:accent1>
        <a:srgbClr val="E8A52E"/>
      </a:accent1>
      <a:accent2>
        <a:srgbClr val="44A5C4"/>
      </a:accent2>
      <a:accent3>
        <a:srgbClr val="F17724"/>
      </a:accent3>
      <a:accent4>
        <a:srgbClr val="C1272D"/>
      </a:accent4>
      <a:accent5>
        <a:srgbClr val="57B09A"/>
      </a:accent5>
      <a:accent6>
        <a:srgbClr val="902154"/>
      </a:accent6>
      <a:hlink>
        <a:srgbClr val="44A5C4"/>
      </a:hlink>
      <a:folHlink>
        <a:srgbClr val="902154"/>
      </a:folHlink>
    </a:clrScheme>
    <a:fontScheme name="Project Budget">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image" Target="../media/image1.png"/><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fitToPage="1"/>
  </sheetPr>
  <dimension ref="B1:L53"/>
  <sheetViews>
    <sheetView showGridLines="0" workbookViewId="0">
      <pane ySplit="4" topLeftCell="A39" activePane="bottomLeft" state="frozen"/>
      <selection pane="bottomLeft" activeCell="H50" sqref="H50"/>
    </sheetView>
  </sheetViews>
  <sheetFormatPr defaultRowHeight="16.5" customHeight="1" x14ac:dyDescent="0.2"/>
  <cols>
    <col min="1" max="1" width="2.7109375" customWidth="1"/>
    <col min="2" max="2" width="5.42578125" customWidth="1"/>
    <col min="3" max="3" width="36" customWidth="1"/>
    <col min="4" max="9" width="17.42578125" customWidth="1"/>
    <col min="10" max="10" width="2.7109375" customWidth="1"/>
    <col min="11" max="11" width="9.140625" style="74"/>
    <col min="12" max="12" width="12.28515625" bestFit="1" customWidth="1"/>
  </cols>
  <sheetData>
    <row r="1" spans="2:12" ht="6.75" customHeight="1" x14ac:dyDescent="0.2">
      <c r="B1" s="13"/>
      <c r="C1" s="13"/>
      <c r="D1" s="13"/>
      <c r="E1" s="13"/>
      <c r="F1" s="13"/>
      <c r="G1" s="14"/>
      <c r="H1" s="14"/>
      <c r="I1" s="14"/>
    </row>
    <row r="2" spans="2:12" ht="42" customHeight="1" x14ac:dyDescent="0.2">
      <c r="B2" s="2" t="s">
        <v>24</v>
      </c>
      <c r="E2" s="2"/>
      <c r="F2" s="2"/>
      <c r="G2" s="10"/>
    </row>
    <row r="3" spans="2:12" ht="16.5" customHeight="1" x14ac:dyDescent="0.2">
      <c r="B3" s="15"/>
      <c r="E3" s="2"/>
      <c r="F3" s="2"/>
      <c r="G3" s="10"/>
    </row>
    <row r="4" spans="2:12" ht="16.5" customHeight="1" thickBot="1" x14ac:dyDescent="0.25">
      <c r="C4" s="16" t="s">
        <v>23</v>
      </c>
      <c r="D4" s="17" t="s">
        <v>25</v>
      </c>
      <c r="E4" s="17" t="s">
        <v>26</v>
      </c>
      <c r="F4" s="17" t="s">
        <v>27</v>
      </c>
      <c r="G4" s="17" t="s">
        <v>28</v>
      </c>
      <c r="H4" s="17" t="s">
        <v>29</v>
      </c>
      <c r="I4" s="17" t="s">
        <v>30</v>
      </c>
      <c r="K4" s="75" t="s">
        <v>74</v>
      </c>
    </row>
    <row r="5" spans="2:12" ht="16.5" customHeight="1" x14ac:dyDescent="0.2">
      <c r="B5" s="94" t="s">
        <v>51</v>
      </c>
      <c r="C5" s="32" t="s">
        <v>55</v>
      </c>
      <c r="D5" s="33">
        <v>4</v>
      </c>
      <c r="E5" s="34">
        <f>D5*45</f>
        <v>180</v>
      </c>
      <c r="F5" s="34">
        <v>5</v>
      </c>
      <c r="G5" s="34">
        <v>0</v>
      </c>
      <c r="H5" s="34">
        <v>0</v>
      </c>
      <c r="I5" s="35">
        <f>SUM(E5:H5)</f>
        <v>185</v>
      </c>
      <c r="K5" s="76">
        <v>1</v>
      </c>
      <c r="L5" s="78">
        <f>I5+I6+L44</f>
        <v>2227.5</v>
      </c>
    </row>
    <row r="6" spans="2:12" ht="16.5" customHeight="1" x14ac:dyDescent="0.2">
      <c r="B6" s="95"/>
      <c r="C6" s="36" t="s">
        <v>56</v>
      </c>
      <c r="D6" s="37">
        <v>12</v>
      </c>
      <c r="E6" s="38">
        <f>D6*45</f>
        <v>540</v>
      </c>
      <c r="F6" s="38">
        <v>10</v>
      </c>
      <c r="G6" s="38">
        <v>0</v>
      </c>
      <c r="H6" s="38">
        <v>0</v>
      </c>
      <c r="I6" s="39">
        <f>SUM(E6:H6)</f>
        <v>550</v>
      </c>
      <c r="K6" s="76">
        <v>1</v>
      </c>
    </row>
    <row r="7" spans="2:12" ht="16.5" customHeight="1" x14ac:dyDescent="0.2">
      <c r="B7" s="95"/>
      <c r="C7" s="36" t="s">
        <v>57</v>
      </c>
      <c r="D7" s="37">
        <v>12</v>
      </c>
      <c r="E7" s="38">
        <f>D7*45</f>
        <v>540</v>
      </c>
      <c r="F7" s="38">
        <v>3</v>
      </c>
      <c r="G7" s="38">
        <v>0</v>
      </c>
      <c r="H7" s="38">
        <v>0</v>
      </c>
      <c r="I7" s="39">
        <f t="shared" ref="I7:I11" si="0">SUM(E7:H7)</f>
        <v>543</v>
      </c>
      <c r="K7" s="76">
        <v>2</v>
      </c>
      <c r="L7" s="78">
        <f>SUM(I7:I10)+L44</f>
        <v>2590</v>
      </c>
    </row>
    <row r="8" spans="2:12" ht="16.5" customHeight="1" x14ac:dyDescent="0.2">
      <c r="B8" s="95"/>
      <c r="C8" s="36" t="s">
        <v>58</v>
      </c>
      <c r="D8" s="37">
        <v>8</v>
      </c>
      <c r="E8" s="38">
        <f>D8*45</f>
        <v>360</v>
      </c>
      <c r="F8" s="38">
        <v>1</v>
      </c>
      <c r="G8" s="38">
        <v>0</v>
      </c>
      <c r="H8" s="38">
        <v>0</v>
      </c>
      <c r="I8" s="39">
        <f t="shared" si="0"/>
        <v>361</v>
      </c>
      <c r="K8" s="76">
        <v>2</v>
      </c>
    </row>
    <row r="9" spans="2:12" ht="16.5" customHeight="1" x14ac:dyDescent="0.2">
      <c r="B9" s="95"/>
      <c r="C9" s="36" t="s">
        <v>59</v>
      </c>
      <c r="D9" s="37">
        <v>1</v>
      </c>
      <c r="E9" s="38">
        <f>D9*30</f>
        <v>30</v>
      </c>
      <c r="F9" s="38">
        <v>0.5</v>
      </c>
      <c r="G9" s="38">
        <v>0</v>
      </c>
      <c r="H9" s="38">
        <v>0</v>
      </c>
      <c r="I9" s="39">
        <f t="shared" si="0"/>
        <v>30.5</v>
      </c>
      <c r="K9" s="76">
        <v>2</v>
      </c>
    </row>
    <row r="10" spans="2:12" ht="16.5" customHeight="1" x14ac:dyDescent="0.2">
      <c r="B10" s="95"/>
      <c r="C10" s="36" t="s">
        <v>60</v>
      </c>
      <c r="D10" s="37">
        <v>4</v>
      </c>
      <c r="E10" s="38">
        <f>D10*40</f>
        <v>160</v>
      </c>
      <c r="F10" s="38">
        <v>3</v>
      </c>
      <c r="G10" s="38">
        <v>0</v>
      </c>
      <c r="H10" s="38">
        <v>0</v>
      </c>
      <c r="I10" s="39">
        <f t="shared" si="0"/>
        <v>163</v>
      </c>
      <c r="K10" s="76">
        <v>2</v>
      </c>
    </row>
    <row r="11" spans="2:12" ht="16.5" customHeight="1" x14ac:dyDescent="0.2">
      <c r="B11" s="95"/>
      <c r="C11" s="36" t="s">
        <v>61</v>
      </c>
      <c r="D11" s="37">
        <v>1</v>
      </c>
      <c r="E11" s="38">
        <f>(D11*30)*5</f>
        <v>150</v>
      </c>
      <c r="F11" s="38">
        <v>15</v>
      </c>
      <c r="G11" s="38">
        <v>1000</v>
      </c>
      <c r="H11" s="38">
        <v>0</v>
      </c>
      <c r="I11" s="73">
        <f t="shared" si="0"/>
        <v>1165</v>
      </c>
      <c r="K11" s="76">
        <v>4</v>
      </c>
    </row>
    <row r="12" spans="2:12" ht="16.5" customHeight="1" thickBot="1" x14ac:dyDescent="0.25">
      <c r="B12" s="96"/>
      <c r="C12" s="40" t="s">
        <v>19</v>
      </c>
      <c r="D12" s="18">
        <f>SUM(D5:D11)</f>
        <v>42</v>
      </c>
      <c r="E12" s="69">
        <f>SUM(E5:E11)</f>
        <v>1960</v>
      </c>
      <c r="F12" s="69">
        <f>SUM(F5:F11)</f>
        <v>37.5</v>
      </c>
      <c r="G12" s="69">
        <f>SUM(G5:G11)</f>
        <v>1000</v>
      </c>
      <c r="H12" s="69">
        <f>SUM(H5:H11)</f>
        <v>0</v>
      </c>
      <c r="I12" s="72">
        <f>SUM(E12:H12)</f>
        <v>2997.5</v>
      </c>
    </row>
    <row r="13" spans="2:12" ht="33" customHeight="1" thickBot="1" x14ac:dyDescent="0.25">
      <c r="C13" s="3"/>
      <c r="D13" s="3"/>
      <c r="E13" s="3"/>
      <c r="F13" s="3"/>
      <c r="G13" s="3"/>
      <c r="H13" s="3"/>
      <c r="I13" s="3"/>
    </row>
    <row r="14" spans="2:12" ht="16.5" customHeight="1" x14ac:dyDescent="0.2">
      <c r="B14" s="97" t="s">
        <v>52</v>
      </c>
      <c r="C14" s="32" t="s">
        <v>62</v>
      </c>
      <c r="D14" s="33">
        <v>30</v>
      </c>
      <c r="E14" s="34">
        <f>D14*45</f>
        <v>1350</v>
      </c>
      <c r="F14" s="34">
        <v>0</v>
      </c>
      <c r="G14" s="34">
        <v>0</v>
      </c>
      <c r="H14" s="34">
        <v>0</v>
      </c>
      <c r="I14" s="35">
        <f>SUM(E14:H14)</f>
        <v>1350</v>
      </c>
      <c r="K14" s="76">
        <v>3</v>
      </c>
      <c r="L14" s="78">
        <f>SUM(I14:I17)+L44</f>
        <v>4252.5</v>
      </c>
    </row>
    <row r="15" spans="2:12" ht="16.5" customHeight="1" x14ac:dyDescent="0.2">
      <c r="B15" s="98"/>
      <c r="C15" s="36" t="s">
        <v>63</v>
      </c>
      <c r="D15" s="37">
        <v>20</v>
      </c>
      <c r="E15" s="38">
        <f>D15*45</f>
        <v>900</v>
      </c>
      <c r="F15" s="38">
        <v>0</v>
      </c>
      <c r="G15" s="38">
        <v>0</v>
      </c>
      <c r="H15" s="38">
        <v>0</v>
      </c>
      <c r="I15" s="39">
        <f t="shared" ref="I15:I17" si="1">SUM(E15:H15)</f>
        <v>900</v>
      </c>
      <c r="K15" s="76">
        <v>3</v>
      </c>
    </row>
    <row r="16" spans="2:12" ht="16.5" customHeight="1" x14ac:dyDescent="0.2">
      <c r="B16" s="98"/>
      <c r="C16" s="36" t="s">
        <v>64</v>
      </c>
      <c r="D16" s="37">
        <v>10</v>
      </c>
      <c r="E16" s="38">
        <f>D16*45</f>
        <v>450</v>
      </c>
      <c r="F16" s="38">
        <v>0</v>
      </c>
      <c r="G16" s="38">
        <v>0</v>
      </c>
      <c r="H16" s="38">
        <v>0</v>
      </c>
      <c r="I16" s="39">
        <f t="shared" si="1"/>
        <v>450</v>
      </c>
      <c r="K16" s="76">
        <v>3</v>
      </c>
    </row>
    <row r="17" spans="2:12" ht="16.5" customHeight="1" x14ac:dyDescent="0.2">
      <c r="B17" s="98"/>
      <c r="C17" s="36" t="s">
        <v>5</v>
      </c>
      <c r="D17" s="37">
        <v>2</v>
      </c>
      <c r="E17" s="38">
        <f>D17*30</f>
        <v>60</v>
      </c>
      <c r="F17" s="38">
        <v>0</v>
      </c>
      <c r="G17" s="38">
        <v>0</v>
      </c>
      <c r="H17" s="38">
        <v>0</v>
      </c>
      <c r="I17" s="73">
        <f t="shared" si="1"/>
        <v>60</v>
      </c>
      <c r="K17" s="76">
        <v>3</v>
      </c>
    </row>
    <row r="18" spans="2:12" ht="16.5" customHeight="1" thickBot="1" x14ac:dyDescent="0.25">
      <c r="B18" s="99"/>
      <c r="C18" s="40" t="s">
        <v>19</v>
      </c>
      <c r="D18" s="18">
        <f>SUM(D14:D17)</f>
        <v>62</v>
      </c>
      <c r="E18" s="69">
        <f>SUM(E14:E17)</f>
        <v>2760</v>
      </c>
      <c r="F18" s="69">
        <f>SUM(F14:F17)</f>
        <v>0</v>
      </c>
      <c r="G18" s="69">
        <f>SUM(G14:G17)</f>
        <v>0</v>
      </c>
      <c r="H18" s="69">
        <f>SUM(H14:H17)</f>
        <v>0</v>
      </c>
      <c r="I18" s="72">
        <f>SUM(E18:H18)</f>
        <v>2760</v>
      </c>
    </row>
    <row r="19" spans="2:12" ht="33" customHeight="1" thickBot="1" x14ac:dyDescent="0.25">
      <c r="C19" s="3"/>
      <c r="D19" s="3"/>
      <c r="E19" s="3"/>
      <c r="F19" s="3"/>
      <c r="G19" s="3"/>
      <c r="H19" s="3"/>
      <c r="I19" s="3"/>
    </row>
    <row r="20" spans="2:12" ht="16.5" customHeight="1" x14ac:dyDescent="0.2">
      <c r="B20" s="88" t="s">
        <v>53</v>
      </c>
      <c r="C20" s="32" t="s">
        <v>65</v>
      </c>
      <c r="D20" s="33">
        <v>12</v>
      </c>
      <c r="E20" s="34">
        <f>(D20*40)*12</f>
        <v>5760</v>
      </c>
      <c r="F20" s="34">
        <v>200</v>
      </c>
      <c r="G20" s="34">
        <v>3000</v>
      </c>
      <c r="H20" s="34">
        <v>400</v>
      </c>
      <c r="I20" s="35">
        <f>SUM(E20:H20)</f>
        <v>9360</v>
      </c>
      <c r="K20" s="76">
        <v>4</v>
      </c>
      <c r="L20" s="78">
        <f>SUM(I11,I20,I21,I22,I23,I24,I25,L44)</f>
        <v>39887.5</v>
      </c>
    </row>
    <row r="21" spans="2:12" ht="16.5" customHeight="1" x14ac:dyDescent="0.2">
      <c r="B21" s="89"/>
      <c r="C21" s="36" t="s">
        <v>0</v>
      </c>
      <c r="D21" s="37">
        <v>24</v>
      </c>
      <c r="E21" s="38">
        <f>D21*30</f>
        <v>720</v>
      </c>
      <c r="F21" s="38">
        <v>0</v>
      </c>
      <c r="G21" s="38">
        <v>0</v>
      </c>
      <c r="H21" s="38">
        <v>50</v>
      </c>
      <c r="I21" s="39">
        <f>SUM(E21:H21)</f>
        <v>770</v>
      </c>
      <c r="K21" s="76">
        <v>4</v>
      </c>
    </row>
    <row r="22" spans="2:12" ht="16.5" customHeight="1" x14ac:dyDescent="0.2">
      <c r="B22" s="89"/>
      <c r="C22" s="36" t="s">
        <v>1</v>
      </c>
      <c r="D22" s="37">
        <v>40</v>
      </c>
      <c r="E22" s="38">
        <f>(D22*30)*4</f>
        <v>4800</v>
      </c>
      <c r="F22" s="38">
        <v>0</v>
      </c>
      <c r="G22" s="38">
        <v>0</v>
      </c>
      <c r="H22" s="38">
        <v>50</v>
      </c>
      <c r="I22" s="39">
        <f t="shared" ref="I22:I34" si="2">SUM(E22:H22)</f>
        <v>4850</v>
      </c>
      <c r="K22" s="76">
        <v>4</v>
      </c>
    </row>
    <row r="23" spans="2:12" ht="16.5" customHeight="1" x14ac:dyDescent="0.2">
      <c r="B23" s="89"/>
      <c r="C23" s="36" t="s">
        <v>66</v>
      </c>
      <c r="D23" s="37">
        <v>120</v>
      </c>
      <c r="E23" s="38">
        <f>(D23*30)*4</f>
        <v>14400</v>
      </c>
      <c r="F23" s="38">
        <v>0</v>
      </c>
      <c r="G23" s="38">
        <v>0</v>
      </c>
      <c r="H23" s="38">
        <v>50</v>
      </c>
      <c r="I23" s="39">
        <f t="shared" si="2"/>
        <v>14450</v>
      </c>
      <c r="K23" s="76">
        <v>4</v>
      </c>
    </row>
    <row r="24" spans="2:12" ht="16.5" customHeight="1" x14ac:dyDescent="0.2">
      <c r="B24" s="89"/>
      <c r="C24" s="36" t="s">
        <v>2</v>
      </c>
      <c r="D24" s="37">
        <v>10</v>
      </c>
      <c r="E24" s="38">
        <f>(D24*30)*2</f>
        <v>600</v>
      </c>
      <c r="F24" s="38">
        <v>0</v>
      </c>
      <c r="G24" s="38">
        <v>0</v>
      </c>
      <c r="H24" s="38">
        <v>0</v>
      </c>
      <c r="I24" s="39">
        <f t="shared" si="2"/>
        <v>600</v>
      </c>
      <c r="K24" s="76">
        <v>4</v>
      </c>
    </row>
    <row r="25" spans="2:12" ht="16.5" customHeight="1" x14ac:dyDescent="0.2">
      <c r="B25" s="89"/>
      <c r="C25" s="36" t="s">
        <v>3</v>
      </c>
      <c r="D25" s="37">
        <v>120</v>
      </c>
      <c r="E25" s="38">
        <f>(D25*30)*2</f>
        <v>7200</v>
      </c>
      <c r="F25" s="38">
        <v>0</v>
      </c>
      <c r="G25" s="38">
        <v>0</v>
      </c>
      <c r="H25" s="38">
        <v>0</v>
      </c>
      <c r="I25" s="39">
        <f t="shared" si="2"/>
        <v>7200</v>
      </c>
      <c r="K25" s="76">
        <v>4</v>
      </c>
    </row>
    <row r="26" spans="2:12" ht="16.5" customHeight="1" x14ac:dyDescent="0.2">
      <c r="B26" s="89"/>
      <c r="C26" s="36" t="s">
        <v>4</v>
      </c>
      <c r="D26" s="37">
        <v>40</v>
      </c>
      <c r="E26" s="38">
        <f>(D26*30)</f>
        <v>1200</v>
      </c>
      <c r="F26" s="38">
        <v>2000000</v>
      </c>
      <c r="G26" s="38">
        <v>0</v>
      </c>
      <c r="H26" s="38">
        <v>3000</v>
      </c>
      <c r="I26" s="39">
        <f t="shared" si="2"/>
        <v>2004200</v>
      </c>
      <c r="K26" s="77" t="s">
        <v>75</v>
      </c>
      <c r="L26" s="78">
        <f>(I26*0.63)+L44</f>
        <v>1264138.5</v>
      </c>
    </row>
    <row r="27" spans="2:12" ht="16.5" customHeight="1" x14ac:dyDescent="0.2">
      <c r="B27" s="89"/>
      <c r="C27" s="36" t="s">
        <v>67</v>
      </c>
      <c r="D27" s="37">
        <v>400</v>
      </c>
      <c r="E27" s="38">
        <f>(D27*30)*2</f>
        <v>24000</v>
      </c>
      <c r="F27" s="38">
        <v>3000</v>
      </c>
      <c r="G27" s="38">
        <v>0</v>
      </c>
      <c r="H27" s="38">
        <v>200</v>
      </c>
      <c r="I27" s="39">
        <f t="shared" si="2"/>
        <v>27200</v>
      </c>
      <c r="K27" s="76">
        <v>6</v>
      </c>
      <c r="L27" s="78">
        <f>(I26-L26)+I27+I28+L44</f>
        <v>769954</v>
      </c>
    </row>
    <row r="28" spans="2:12" ht="16.5" customHeight="1" x14ac:dyDescent="0.2">
      <c r="B28" s="89"/>
      <c r="C28" s="36" t="s">
        <v>68</v>
      </c>
      <c r="D28" s="37">
        <v>20</v>
      </c>
      <c r="E28" s="38">
        <f>(D28*30)*2</f>
        <v>1200</v>
      </c>
      <c r="F28" s="38">
        <v>0</v>
      </c>
      <c r="G28" s="38">
        <v>0</v>
      </c>
      <c r="H28" s="38">
        <v>0</v>
      </c>
      <c r="I28" s="39">
        <f t="shared" si="2"/>
        <v>1200</v>
      </c>
      <c r="K28" s="76">
        <v>6</v>
      </c>
    </row>
    <row r="29" spans="2:12" ht="16.5" customHeight="1" x14ac:dyDescent="0.2">
      <c r="B29" s="89"/>
      <c r="C29" s="36" t="s">
        <v>69</v>
      </c>
      <c r="D29" s="37">
        <v>64</v>
      </c>
      <c r="E29" s="38">
        <f>(D29*30)*4</f>
        <v>7680</v>
      </c>
      <c r="F29" s="38">
        <v>500</v>
      </c>
      <c r="G29" s="38">
        <v>0</v>
      </c>
      <c r="H29" s="38">
        <v>6000</v>
      </c>
      <c r="I29" s="39">
        <f t="shared" si="2"/>
        <v>14180</v>
      </c>
      <c r="K29" s="76">
        <v>9</v>
      </c>
      <c r="L29" s="78">
        <f>SUM(I29:I32)+(I33/2)+L44</f>
        <v>30652.5</v>
      </c>
    </row>
    <row r="30" spans="2:12" ht="16.5" customHeight="1" x14ac:dyDescent="0.2">
      <c r="B30" s="89"/>
      <c r="C30" s="36" t="s">
        <v>70</v>
      </c>
      <c r="D30" s="37">
        <v>64</v>
      </c>
      <c r="E30" s="38">
        <f t="shared" ref="E30:E31" si="3">(D30*30)*4</f>
        <v>7680</v>
      </c>
      <c r="F30" s="38">
        <v>500</v>
      </c>
      <c r="G30" s="38">
        <v>0</v>
      </c>
      <c r="H30" s="38">
        <v>500</v>
      </c>
      <c r="I30" s="39">
        <f t="shared" si="2"/>
        <v>8680</v>
      </c>
      <c r="K30" s="76">
        <v>9</v>
      </c>
    </row>
    <row r="31" spans="2:12" ht="16.5" customHeight="1" x14ac:dyDescent="0.2">
      <c r="B31" s="89"/>
      <c r="C31" s="36" t="s">
        <v>8</v>
      </c>
      <c r="D31" s="37">
        <v>4</v>
      </c>
      <c r="E31" s="38">
        <f t="shared" si="3"/>
        <v>480</v>
      </c>
      <c r="F31" s="38">
        <v>0</v>
      </c>
      <c r="G31" s="38">
        <v>0</v>
      </c>
      <c r="H31" s="38">
        <v>0</v>
      </c>
      <c r="I31" s="39">
        <f t="shared" si="2"/>
        <v>480</v>
      </c>
      <c r="K31" s="76">
        <v>9</v>
      </c>
    </row>
    <row r="32" spans="2:12" ht="16.5" customHeight="1" x14ac:dyDescent="0.2">
      <c r="B32" s="89"/>
      <c r="C32" s="36" t="s">
        <v>9</v>
      </c>
      <c r="D32" s="37">
        <v>3</v>
      </c>
      <c r="E32" s="38">
        <f>(D32*30)*8</f>
        <v>720</v>
      </c>
      <c r="F32" s="38">
        <v>0</v>
      </c>
      <c r="G32" s="38">
        <v>0</v>
      </c>
      <c r="H32" s="38">
        <v>0</v>
      </c>
      <c r="I32" s="39">
        <f t="shared" si="2"/>
        <v>720</v>
      </c>
      <c r="K32" s="76">
        <v>9</v>
      </c>
    </row>
    <row r="33" spans="2:12" ht="16.5" customHeight="1" x14ac:dyDescent="0.2">
      <c r="B33" s="89"/>
      <c r="C33" s="36" t="s">
        <v>10</v>
      </c>
      <c r="D33" s="37">
        <v>40</v>
      </c>
      <c r="E33" s="38">
        <f>(D33*30)*8</f>
        <v>9600</v>
      </c>
      <c r="F33" s="38">
        <v>300</v>
      </c>
      <c r="G33" s="38">
        <v>0</v>
      </c>
      <c r="H33" s="38">
        <v>300</v>
      </c>
      <c r="I33" s="39">
        <f t="shared" si="2"/>
        <v>10200</v>
      </c>
      <c r="K33" s="74" t="s">
        <v>76</v>
      </c>
    </row>
    <row r="34" spans="2:12" ht="16.5" customHeight="1" x14ac:dyDescent="0.2">
      <c r="B34" s="89"/>
      <c r="C34" s="36" t="s">
        <v>11</v>
      </c>
      <c r="D34" s="37">
        <v>2</v>
      </c>
      <c r="E34" s="38">
        <f>(D34*45)</f>
        <v>90</v>
      </c>
      <c r="F34" s="38">
        <v>0</v>
      </c>
      <c r="G34" s="38">
        <v>0</v>
      </c>
      <c r="H34" s="38">
        <v>50</v>
      </c>
      <c r="I34" s="39">
        <f t="shared" si="2"/>
        <v>140</v>
      </c>
      <c r="K34" s="76">
        <v>10</v>
      </c>
      <c r="L34" s="78">
        <f>SUM((I33/2),I34,I46,I47,I48,L44)</f>
        <v>10042.5</v>
      </c>
    </row>
    <row r="35" spans="2:12" ht="16.5" customHeight="1" thickBot="1" x14ac:dyDescent="0.25">
      <c r="B35" s="90"/>
      <c r="C35" s="40" t="s">
        <v>19</v>
      </c>
      <c r="D35" s="18">
        <f>SUM(D20:D34)</f>
        <v>963</v>
      </c>
      <c r="E35" s="69">
        <f>SUM(E20:E34)</f>
        <v>86130</v>
      </c>
      <c r="F35" s="69">
        <f>SUM(F20:F34)</f>
        <v>2004500</v>
      </c>
      <c r="G35" s="69">
        <f>SUM(G20:G34)</f>
        <v>3000</v>
      </c>
      <c r="H35" s="69">
        <f>SUM(H20:H34)</f>
        <v>10600</v>
      </c>
      <c r="I35" s="69">
        <f>SUM(E35:H35)</f>
        <v>2104230</v>
      </c>
    </row>
    <row r="36" spans="2:12" ht="33" customHeight="1" thickBot="1" x14ac:dyDescent="0.25"/>
    <row r="37" spans="2:12" ht="16.5" customHeight="1" x14ac:dyDescent="0.2">
      <c r="B37" s="91" t="s">
        <v>49</v>
      </c>
      <c r="C37" s="32" t="s">
        <v>12</v>
      </c>
      <c r="D37" s="33">
        <v>20</v>
      </c>
      <c r="E37" s="34">
        <f>(D37*30)*12</f>
        <v>7200</v>
      </c>
      <c r="F37" s="34">
        <v>0</v>
      </c>
      <c r="G37" s="34">
        <v>0</v>
      </c>
      <c r="H37" s="34">
        <v>200</v>
      </c>
      <c r="I37" s="35">
        <f>SUM(E37:H37)</f>
        <v>7400</v>
      </c>
      <c r="K37" s="74" t="s">
        <v>77</v>
      </c>
    </row>
    <row r="38" spans="2:12" ht="16.5" customHeight="1" x14ac:dyDescent="0.2">
      <c r="B38" s="92"/>
      <c r="C38" s="36" t="s">
        <v>13</v>
      </c>
      <c r="D38" s="37">
        <v>20</v>
      </c>
      <c r="E38" s="38">
        <f>D38*45</f>
        <v>900</v>
      </c>
      <c r="F38" s="38">
        <v>0</v>
      </c>
      <c r="G38" s="38">
        <v>0</v>
      </c>
      <c r="H38" s="38">
        <v>20</v>
      </c>
      <c r="I38" s="39">
        <f t="shared" ref="I38:I43" si="4">SUM(E38:H38)</f>
        <v>920</v>
      </c>
      <c r="K38" s="74" t="s">
        <v>77</v>
      </c>
    </row>
    <row r="39" spans="2:12" ht="16.5" customHeight="1" x14ac:dyDescent="0.2">
      <c r="B39" s="92"/>
      <c r="C39" s="36" t="s">
        <v>14</v>
      </c>
      <c r="D39" s="37">
        <v>5</v>
      </c>
      <c r="E39" s="38">
        <f>D39*40</f>
        <v>200</v>
      </c>
      <c r="F39" s="38">
        <v>0</v>
      </c>
      <c r="G39" s="38">
        <v>0</v>
      </c>
      <c r="H39" s="38">
        <v>0</v>
      </c>
      <c r="I39" s="39">
        <f t="shared" si="4"/>
        <v>200</v>
      </c>
      <c r="K39" s="74" t="s">
        <v>77</v>
      </c>
    </row>
    <row r="40" spans="2:12" ht="16.5" customHeight="1" x14ac:dyDescent="0.2">
      <c r="B40" s="92"/>
      <c r="C40" s="36" t="s">
        <v>15</v>
      </c>
      <c r="D40" s="37">
        <v>5</v>
      </c>
      <c r="E40" s="38">
        <f>D40*30</f>
        <v>150</v>
      </c>
      <c r="F40" s="38">
        <v>0</v>
      </c>
      <c r="G40" s="38">
        <v>0</v>
      </c>
      <c r="H40" s="38">
        <v>0</v>
      </c>
      <c r="I40" s="39">
        <f t="shared" si="4"/>
        <v>150</v>
      </c>
      <c r="K40" s="74" t="s">
        <v>77</v>
      </c>
    </row>
    <row r="41" spans="2:12" ht="16.5" customHeight="1" x14ac:dyDescent="0.2">
      <c r="B41" s="92"/>
      <c r="C41" s="36" t="s">
        <v>16</v>
      </c>
      <c r="D41" s="37">
        <v>5</v>
      </c>
      <c r="E41" s="38">
        <f>D41*45</f>
        <v>225</v>
      </c>
      <c r="F41" s="38">
        <v>0</v>
      </c>
      <c r="G41" s="38">
        <v>0</v>
      </c>
      <c r="H41" s="38">
        <v>0</v>
      </c>
      <c r="I41" s="39">
        <f t="shared" si="4"/>
        <v>225</v>
      </c>
      <c r="K41" s="74" t="s">
        <v>77</v>
      </c>
    </row>
    <row r="42" spans="2:12" ht="16.5" customHeight="1" x14ac:dyDescent="0.2">
      <c r="B42" s="92"/>
      <c r="C42" s="36" t="s">
        <v>17</v>
      </c>
      <c r="D42" s="37">
        <v>14</v>
      </c>
      <c r="E42" s="38">
        <f>D42*45</f>
        <v>630</v>
      </c>
      <c r="F42" s="38">
        <v>0</v>
      </c>
      <c r="G42" s="38">
        <v>0</v>
      </c>
      <c r="H42" s="38">
        <v>0</v>
      </c>
      <c r="I42" s="39">
        <f t="shared" si="4"/>
        <v>630</v>
      </c>
      <c r="K42" s="74" t="s">
        <v>77</v>
      </c>
    </row>
    <row r="43" spans="2:12" ht="16.5" customHeight="1" x14ac:dyDescent="0.2">
      <c r="B43" s="92"/>
      <c r="C43" s="36" t="s">
        <v>18</v>
      </c>
      <c r="D43" s="37">
        <v>120</v>
      </c>
      <c r="E43" s="38">
        <f>D43*45</f>
        <v>5400</v>
      </c>
      <c r="F43" s="38">
        <v>0</v>
      </c>
      <c r="G43" s="38">
        <v>0</v>
      </c>
      <c r="H43" s="38">
        <v>0</v>
      </c>
      <c r="I43" s="39">
        <f t="shared" si="4"/>
        <v>5400</v>
      </c>
      <c r="K43" s="74" t="s">
        <v>77</v>
      </c>
    </row>
    <row r="44" spans="2:12" ht="16.5" customHeight="1" thickBot="1" x14ac:dyDescent="0.25">
      <c r="B44" s="93"/>
      <c r="C44" s="40" t="s">
        <v>19</v>
      </c>
      <c r="D44" s="18">
        <f>SUM(D37:D43)</f>
        <v>189</v>
      </c>
      <c r="E44" s="69">
        <f>SUM(E37:E43)</f>
        <v>14705</v>
      </c>
      <c r="F44" s="69">
        <f>SUM(F37:F43)</f>
        <v>0</v>
      </c>
      <c r="G44" s="69">
        <f>SUM(G37:G43)</f>
        <v>0</v>
      </c>
      <c r="H44" s="69">
        <f>SUM(H37:H43)</f>
        <v>220</v>
      </c>
      <c r="I44" s="69">
        <f>SUM(E44:H44)</f>
        <v>14925</v>
      </c>
      <c r="L44" s="78">
        <f>I44/10</f>
        <v>1492.5</v>
      </c>
    </row>
    <row r="45" spans="2:12" ht="33" customHeight="1" thickBot="1" x14ac:dyDescent="0.25">
      <c r="C45" s="3"/>
      <c r="D45" s="3"/>
      <c r="E45" s="3"/>
      <c r="F45" s="3"/>
      <c r="G45" s="3"/>
      <c r="H45" s="3"/>
      <c r="I45" s="3"/>
    </row>
    <row r="46" spans="2:12" ht="16.5" customHeight="1" x14ac:dyDescent="0.2">
      <c r="B46" s="85" t="s">
        <v>54</v>
      </c>
      <c r="C46" s="41" t="s">
        <v>71</v>
      </c>
      <c r="D46" s="33">
        <v>8</v>
      </c>
      <c r="E46" s="34">
        <f>(D46*30)*5</f>
        <v>1200</v>
      </c>
      <c r="F46" s="34">
        <v>0</v>
      </c>
      <c r="G46" s="34">
        <v>0</v>
      </c>
      <c r="H46" s="34">
        <v>50</v>
      </c>
      <c r="I46" s="35">
        <f>SUM(E46:H46)</f>
        <v>1250</v>
      </c>
      <c r="K46" s="76">
        <v>10</v>
      </c>
    </row>
    <row r="47" spans="2:12" ht="16.5" customHeight="1" x14ac:dyDescent="0.2">
      <c r="B47" s="86"/>
      <c r="C47" s="42" t="s">
        <v>72</v>
      </c>
      <c r="D47" s="37">
        <v>2</v>
      </c>
      <c r="E47" s="38">
        <f>(D47*35)*22</f>
        <v>1540</v>
      </c>
      <c r="F47" s="38">
        <v>0</v>
      </c>
      <c r="G47" s="38">
        <v>300</v>
      </c>
      <c r="H47" s="38">
        <v>160</v>
      </c>
      <c r="I47" s="39">
        <f>SUM(E47:H47)</f>
        <v>2000</v>
      </c>
      <c r="K47" s="76">
        <v>10</v>
      </c>
    </row>
    <row r="48" spans="2:12" ht="16.5" customHeight="1" x14ac:dyDescent="0.2">
      <c r="B48" s="86"/>
      <c r="C48" s="42" t="s">
        <v>73</v>
      </c>
      <c r="D48" s="37">
        <v>1</v>
      </c>
      <c r="E48" s="38">
        <f>D48*45</f>
        <v>45</v>
      </c>
      <c r="F48" s="38">
        <v>15</v>
      </c>
      <c r="G48" s="38">
        <v>0</v>
      </c>
      <c r="H48" s="38">
        <v>0</v>
      </c>
      <c r="I48" s="39">
        <f>SUM(E48:H48)</f>
        <v>60</v>
      </c>
      <c r="K48" s="76">
        <v>10</v>
      </c>
    </row>
    <row r="49" spans="2:9" ht="16.5" customHeight="1" thickBot="1" x14ac:dyDescent="0.25">
      <c r="B49" s="87"/>
      <c r="C49" s="40" t="s">
        <v>19</v>
      </c>
      <c r="D49" s="18">
        <f>SUM(D46:D48)</f>
        <v>11</v>
      </c>
      <c r="E49" s="69">
        <f>SUM(E46:E48)</f>
        <v>2785</v>
      </c>
      <c r="F49" s="69">
        <f>SUM(F46:F48)</f>
        <v>15</v>
      </c>
      <c r="G49" s="69">
        <f>SUM(G46:G48)</f>
        <v>300</v>
      </c>
      <c r="H49" s="69">
        <f>SUM(H46:H48)</f>
        <v>210</v>
      </c>
      <c r="I49" s="69">
        <f>SUM(E49:H49)</f>
        <v>3310</v>
      </c>
    </row>
    <row r="50" spans="2:9" ht="33" customHeight="1" thickBot="1" x14ac:dyDescent="0.25">
      <c r="C50" s="3"/>
      <c r="D50" s="3"/>
      <c r="E50" s="3"/>
      <c r="F50" s="3"/>
      <c r="G50" s="3"/>
      <c r="H50" s="3"/>
      <c r="I50" s="3"/>
    </row>
    <row r="51" spans="2:9" ht="20.25" customHeight="1" x14ac:dyDescent="0.2">
      <c r="B51" s="43" t="s">
        <v>31</v>
      </c>
      <c r="C51" s="44"/>
      <c r="D51" s="19">
        <f t="shared" ref="D51:I51" si="5">SUM(D49,D44,D35,D18,D12)</f>
        <v>1267</v>
      </c>
      <c r="E51" s="70">
        <f t="shared" si="5"/>
        <v>108340</v>
      </c>
      <c r="F51" s="70">
        <f t="shared" si="5"/>
        <v>2004552.5</v>
      </c>
      <c r="G51" s="70">
        <f t="shared" si="5"/>
        <v>4300</v>
      </c>
      <c r="H51" s="70">
        <f t="shared" si="5"/>
        <v>11030</v>
      </c>
      <c r="I51" s="70">
        <f t="shared" si="5"/>
        <v>2128222.5</v>
      </c>
    </row>
    <row r="52" spans="2:9" ht="20.25" customHeight="1" x14ac:dyDescent="0.2">
      <c r="B52" s="45" t="s">
        <v>32</v>
      </c>
      <c r="C52" s="46"/>
      <c r="D52" s="49">
        <v>0.15</v>
      </c>
      <c r="E52" s="50">
        <f>E51*D52</f>
        <v>16251</v>
      </c>
      <c r="F52" s="50">
        <f>F51*D52</f>
        <v>300682.875</v>
      </c>
      <c r="G52" s="50">
        <f>G51*D52</f>
        <v>645</v>
      </c>
      <c r="H52" s="50">
        <f>H51*D52</f>
        <v>1654.5</v>
      </c>
      <c r="I52" s="51">
        <f>SUM(E52:H52)</f>
        <v>319233.375</v>
      </c>
    </row>
    <row r="53" spans="2:9" ht="20.25" customHeight="1" thickBot="1" x14ac:dyDescent="0.25">
      <c r="B53" s="47" t="s">
        <v>33</v>
      </c>
      <c r="C53" s="48"/>
      <c r="D53" s="20">
        <f>SUM(D51:D52)</f>
        <v>1267.1500000000001</v>
      </c>
      <c r="E53" s="21">
        <f t="shared" ref="E53:H53" si="6">SUM(E51:E52)</f>
        <v>124591</v>
      </c>
      <c r="F53" s="21">
        <f t="shared" si="6"/>
        <v>2305235.375</v>
      </c>
      <c r="G53" s="21">
        <f t="shared" si="6"/>
        <v>4945</v>
      </c>
      <c r="H53" s="21">
        <f t="shared" si="6"/>
        <v>12684.5</v>
      </c>
      <c r="I53" s="21">
        <f>SUM(I51:I52)</f>
        <v>2447455.875</v>
      </c>
    </row>
  </sheetData>
  <mergeCells count="5">
    <mergeCell ref="B46:B49"/>
    <mergeCell ref="B20:B35"/>
    <mergeCell ref="B37:B44"/>
    <mergeCell ref="B5:B12"/>
    <mergeCell ref="B14:B18"/>
  </mergeCells>
  <pageMargins left="0.7" right="0.7" top="0.75" bottom="0.75" header="0.3" footer="0.3"/>
  <pageSetup scale="68" fitToHeight="0" orientation="portrait" r:id="rId1"/>
  <ignoredErrors>
    <ignoredError sqref="I52" formulaRange="1"/>
  </ignoredErrors>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pageSetUpPr autoPageBreaks="0" fitToPage="1"/>
  </sheetPr>
  <dimension ref="A1:G45"/>
  <sheetViews>
    <sheetView showGridLines="0" workbookViewId="0"/>
  </sheetViews>
  <sheetFormatPr defaultRowHeight="16.5" customHeight="1" x14ac:dyDescent="0.2"/>
  <cols>
    <col min="1" max="1" width="2.7109375" customWidth="1"/>
    <col min="2" max="2" width="3.28515625" customWidth="1"/>
    <col min="3" max="3" width="38.42578125" customWidth="1"/>
    <col min="4" max="4" width="12.7109375" customWidth="1"/>
    <col min="5" max="5" width="16.28515625" customWidth="1"/>
    <col min="6" max="6" width="52.140625" customWidth="1"/>
    <col min="7" max="7" width="2.7109375" customWidth="1"/>
  </cols>
  <sheetData>
    <row r="1" spans="1:7" ht="6.75" customHeight="1" x14ac:dyDescent="0.2">
      <c r="B1" s="13"/>
      <c r="C1" s="13"/>
      <c r="D1" s="13"/>
      <c r="E1" s="13"/>
      <c r="F1" s="14"/>
      <c r="G1" t="s">
        <v>50</v>
      </c>
    </row>
    <row r="2" spans="1:7" ht="42" customHeight="1" x14ac:dyDescent="0.2">
      <c r="A2" s="15" t="s">
        <v>21</v>
      </c>
      <c r="D2" s="2"/>
      <c r="E2" s="2"/>
      <c r="F2" s="10"/>
    </row>
    <row r="3" spans="1:7" ht="16.5" customHeight="1" x14ac:dyDescent="0.2">
      <c r="F3" s="4"/>
    </row>
    <row r="4" spans="1:7" ht="16.5" customHeight="1" thickBot="1" x14ac:dyDescent="0.25">
      <c r="C4" s="23" t="s">
        <v>34</v>
      </c>
      <c r="D4" s="5" t="s">
        <v>35</v>
      </c>
      <c r="E4" s="6" t="s">
        <v>36</v>
      </c>
      <c r="F4" s="11" t="s">
        <v>37</v>
      </c>
    </row>
    <row r="5" spans="1:7" ht="16.5" customHeight="1" x14ac:dyDescent="0.2">
      <c r="B5" s="100" t="s">
        <v>39</v>
      </c>
      <c r="C5" s="52" t="s">
        <v>6</v>
      </c>
      <c r="D5" s="53">
        <v>0</v>
      </c>
      <c r="E5" s="54"/>
      <c r="F5" s="55"/>
    </row>
    <row r="6" spans="1:7" ht="16.5" customHeight="1" x14ac:dyDescent="0.2">
      <c r="B6" s="101"/>
      <c r="C6" s="56" t="s">
        <v>7</v>
      </c>
      <c r="D6" s="57">
        <v>0</v>
      </c>
      <c r="E6" s="58"/>
      <c r="F6" s="59"/>
    </row>
    <row r="7" spans="1:7" ht="16.5" customHeight="1" x14ac:dyDescent="0.2">
      <c r="B7" s="101"/>
      <c r="C7" s="56" t="s">
        <v>8</v>
      </c>
      <c r="D7" s="57">
        <v>0</v>
      </c>
      <c r="E7" s="58"/>
      <c r="F7" s="59"/>
    </row>
    <row r="8" spans="1:7" ht="16.5" customHeight="1" x14ac:dyDescent="0.2">
      <c r="B8" s="101"/>
      <c r="C8" s="56" t="s">
        <v>9</v>
      </c>
      <c r="D8" s="57">
        <v>0</v>
      </c>
      <c r="E8" s="58"/>
      <c r="F8" s="59"/>
    </row>
    <row r="9" spans="1:7" ht="16.5" customHeight="1" x14ac:dyDescent="0.2">
      <c r="B9" s="101"/>
      <c r="C9" s="56" t="s">
        <v>10</v>
      </c>
      <c r="D9" s="57">
        <v>0</v>
      </c>
      <c r="E9" s="58"/>
      <c r="F9" s="59"/>
    </row>
    <row r="10" spans="1:7" ht="16.5" customHeight="1" x14ac:dyDescent="0.2">
      <c r="B10" s="101"/>
      <c r="C10" s="56" t="s">
        <v>38</v>
      </c>
      <c r="D10" s="57">
        <v>0</v>
      </c>
      <c r="E10" s="58"/>
      <c r="F10" s="59"/>
    </row>
    <row r="11" spans="1:7" ht="16.5" customHeight="1" thickBot="1" x14ac:dyDescent="0.25">
      <c r="B11" s="102"/>
      <c r="C11" s="60" t="s">
        <v>19</v>
      </c>
      <c r="D11" s="66">
        <f>SUM(D5:D10)</f>
        <v>0</v>
      </c>
      <c r="E11" s="61"/>
      <c r="F11" s="62"/>
    </row>
    <row r="12" spans="1:7" ht="33" customHeight="1" thickBot="1" x14ac:dyDescent="0.25">
      <c r="C12" s="8"/>
      <c r="D12" s="8"/>
      <c r="E12" s="9"/>
      <c r="F12" s="7"/>
    </row>
    <row r="13" spans="1:7" ht="16.5" customHeight="1" x14ac:dyDescent="0.2">
      <c r="B13" s="103" t="s">
        <v>40</v>
      </c>
      <c r="C13" s="52" t="s">
        <v>6</v>
      </c>
      <c r="D13" s="53">
        <v>0</v>
      </c>
      <c r="E13" s="54"/>
      <c r="F13" s="55"/>
    </row>
    <row r="14" spans="1:7" ht="16.5" customHeight="1" x14ac:dyDescent="0.2">
      <c r="B14" s="104"/>
      <c r="C14" s="56" t="s">
        <v>7</v>
      </c>
      <c r="D14" s="57">
        <v>0</v>
      </c>
      <c r="E14" s="58"/>
      <c r="F14" s="59"/>
    </row>
    <row r="15" spans="1:7" ht="16.5" customHeight="1" x14ac:dyDescent="0.2">
      <c r="B15" s="104"/>
      <c r="C15" s="56" t="s">
        <v>8</v>
      </c>
      <c r="D15" s="57">
        <v>0</v>
      </c>
      <c r="E15" s="58"/>
      <c r="F15" s="59"/>
    </row>
    <row r="16" spans="1:7" ht="16.5" customHeight="1" x14ac:dyDescent="0.2">
      <c r="B16" s="104"/>
      <c r="C16" s="56" t="s">
        <v>9</v>
      </c>
      <c r="D16" s="57">
        <v>0</v>
      </c>
      <c r="E16" s="58"/>
      <c r="F16" s="59"/>
    </row>
    <row r="17" spans="2:6" ht="16.5" customHeight="1" x14ac:dyDescent="0.2">
      <c r="B17" s="104"/>
      <c r="C17" s="56" t="s">
        <v>10</v>
      </c>
      <c r="D17" s="57">
        <v>0</v>
      </c>
      <c r="E17" s="58"/>
      <c r="F17" s="59"/>
    </row>
    <row r="18" spans="2:6" ht="16.5" customHeight="1" x14ac:dyDescent="0.2">
      <c r="B18" s="104"/>
      <c r="C18" s="56" t="s">
        <v>38</v>
      </c>
      <c r="D18" s="57">
        <v>0</v>
      </c>
      <c r="E18" s="58"/>
      <c r="F18" s="59"/>
    </row>
    <row r="19" spans="2:6" ht="16.5" customHeight="1" thickBot="1" x14ac:dyDescent="0.25">
      <c r="B19" s="105"/>
      <c r="C19" s="60" t="s">
        <v>19</v>
      </c>
      <c r="D19" s="66">
        <f>SUM(D13:D18)</f>
        <v>0</v>
      </c>
      <c r="E19" s="61"/>
      <c r="F19" s="62"/>
    </row>
    <row r="20" spans="2:6" ht="33" customHeight="1" thickBot="1" x14ac:dyDescent="0.25">
      <c r="C20" s="8"/>
      <c r="D20" s="8"/>
      <c r="E20" s="9"/>
      <c r="F20" s="7"/>
    </row>
    <row r="21" spans="2:6" ht="16.5" customHeight="1" x14ac:dyDescent="0.2">
      <c r="B21" s="106" t="s">
        <v>41</v>
      </c>
      <c r="C21" s="52" t="s">
        <v>6</v>
      </c>
      <c r="D21" s="53">
        <v>0</v>
      </c>
      <c r="E21" s="54"/>
      <c r="F21" s="55"/>
    </row>
    <row r="22" spans="2:6" ht="16.5" customHeight="1" x14ac:dyDescent="0.2">
      <c r="B22" s="107"/>
      <c r="C22" s="56" t="s">
        <v>7</v>
      </c>
      <c r="D22" s="57">
        <v>0</v>
      </c>
      <c r="E22" s="58"/>
      <c r="F22" s="59"/>
    </row>
    <row r="23" spans="2:6" ht="16.5" customHeight="1" x14ac:dyDescent="0.2">
      <c r="B23" s="107"/>
      <c r="C23" s="56" t="s">
        <v>8</v>
      </c>
      <c r="D23" s="57">
        <v>0</v>
      </c>
      <c r="E23" s="58"/>
      <c r="F23" s="59"/>
    </row>
    <row r="24" spans="2:6" ht="16.5" customHeight="1" x14ac:dyDescent="0.2">
      <c r="B24" s="107"/>
      <c r="C24" s="56" t="s">
        <v>9</v>
      </c>
      <c r="D24" s="57">
        <v>0</v>
      </c>
      <c r="E24" s="58"/>
      <c r="F24" s="59"/>
    </row>
    <row r="25" spans="2:6" ht="16.5" customHeight="1" x14ac:dyDescent="0.2">
      <c r="B25" s="107"/>
      <c r="C25" s="56" t="s">
        <v>10</v>
      </c>
      <c r="D25" s="57">
        <v>0</v>
      </c>
      <c r="E25" s="58"/>
      <c r="F25" s="59"/>
    </row>
    <row r="26" spans="2:6" ht="16.5" customHeight="1" x14ac:dyDescent="0.2">
      <c r="B26" s="107"/>
      <c r="C26" s="56" t="s">
        <v>38</v>
      </c>
      <c r="D26" s="57">
        <v>0</v>
      </c>
      <c r="E26" s="58"/>
      <c r="F26" s="59"/>
    </row>
    <row r="27" spans="2:6" ht="16.5" customHeight="1" thickBot="1" x14ac:dyDescent="0.25">
      <c r="B27" s="108"/>
      <c r="C27" s="60" t="s">
        <v>19</v>
      </c>
      <c r="D27" s="66">
        <f>SUM(D21:D26)</f>
        <v>0</v>
      </c>
      <c r="E27" s="61"/>
      <c r="F27" s="62"/>
    </row>
    <row r="28" spans="2:6" ht="33" customHeight="1" thickBot="1" x14ac:dyDescent="0.25">
      <c r="C28" s="8"/>
      <c r="D28" s="8"/>
      <c r="E28" s="9"/>
      <c r="F28" s="7"/>
    </row>
    <row r="29" spans="2:6" ht="16.5" customHeight="1" x14ac:dyDescent="0.2">
      <c r="B29" s="109" t="s">
        <v>42</v>
      </c>
      <c r="C29" s="52" t="s">
        <v>6</v>
      </c>
      <c r="D29" s="53">
        <v>0</v>
      </c>
      <c r="E29" s="54"/>
      <c r="F29" s="55"/>
    </row>
    <row r="30" spans="2:6" ht="16.5" customHeight="1" x14ac:dyDescent="0.2">
      <c r="B30" s="110"/>
      <c r="C30" s="56" t="s">
        <v>7</v>
      </c>
      <c r="D30" s="57">
        <v>0</v>
      </c>
      <c r="E30" s="58"/>
      <c r="F30" s="59"/>
    </row>
    <row r="31" spans="2:6" ht="16.5" customHeight="1" x14ac:dyDescent="0.2">
      <c r="B31" s="110"/>
      <c r="C31" s="56" t="s">
        <v>8</v>
      </c>
      <c r="D31" s="57">
        <v>0</v>
      </c>
      <c r="E31" s="58"/>
      <c r="F31" s="59"/>
    </row>
    <row r="32" spans="2:6" ht="16.5" customHeight="1" x14ac:dyDescent="0.2">
      <c r="B32" s="110"/>
      <c r="C32" s="56" t="s">
        <v>9</v>
      </c>
      <c r="D32" s="57">
        <v>0</v>
      </c>
      <c r="E32" s="58"/>
      <c r="F32" s="59"/>
    </row>
    <row r="33" spans="2:6" ht="16.5" customHeight="1" x14ac:dyDescent="0.2">
      <c r="B33" s="110"/>
      <c r="C33" s="56" t="s">
        <v>10</v>
      </c>
      <c r="D33" s="57">
        <v>0</v>
      </c>
      <c r="E33" s="58"/>
      <c r="F33" s="59"/>
    </row>
    <row r="34" spans="2:6" ht="16.5" customHeight="1" x14ac:dyDescent="0.2">
      <c r="B34" s="110"/>
      <c r="C34" s="56" t="s">
        <v>38</v>
      </c>
      <c r="D34" s="57">
        <v>0</v>
      </c>
      <c r="E34" s="58"/>
      <c r="F34" s="59"/>
    </row>
    <row r="35" spans="2:6" ht="16.5" customHeight="1" thickBot="1" x14ac:dyDescent="0.25">
      <c r="B35" s="111"/>
      <c r="C35" s="60" t="s">
        <v>19</v>
      </c>
      <c r="D35" s="66">
        <f>SUM(D29:D34)</f>
        <v>0</v>
      </c>
      <c r="E35" s="61"/>
      <c r="F35" s="62"/>
    </row>
    <row r="36" spans="2:6" ht="33" customHeight="1" thickBot="1" x14ac:dyDescent="0.25">
      <c r="C36" s="8"/>
      <c r="D36" s="8"/>
      <c r="E36" s="9"/>
      <c r="F36" s="7"/>
    </row>
    <row r="37" spans="2:6" ht="16.5" customHeight="1" x14ac:dyDescent="0.2">
      <c r="B37" s="112" t="s">
        <v>43</v>
      </c>
      <c r="C37" s="52" t="s">
        <v>6</v>
      </c>
      <c r="D37" s="53">
        <v>0</v>
      </c>
      <c r="E37" s="54"/>
      <c r="F37" s="55"/>
    </row>
    <row r="38" spans="2:6" ht="16.5" customHeight="1" x14ac:dyDescent="0.2">
      <c r="B38" s="113"/>
      <c r="C38" s="56" t="s">
        <v>7</v>
      </c>
      <c r="D38" s="57">
        <v>0</v>
      </c>
      <c r="E38" s="58"/>
      <c r="F38" s="59"/>
    </row>
    <row r="39" spans="2:6" ht="16.5" customHeight="1" x14ac:dyDescent="0.2">
      <c r="B39" s="113"/>
      <c r="C39" s="56" t="s">
        <v>8</v>
      </c>
      <c r="D39" s="57">
        <v>0</v>
      </c>
      <c r="E39" s="58"/>
      <c r="F39" s="59"/>
    </row>
    <row r="40" spans="2:6" ht="16.5" customHeight="1" x14ac:dyDescent="0.2">
      <c r="B40" s="113"/>
      <c r="C40" s="56" t="s">
        <v>9</v>
      </c>
      <c r="D40" s="57">
        <v>0</v>
      </c>
      <c r="E40" s="58"/>
      <c r="F40" s="59"/>
    </row>
    <row r="41" spans="2:6" ht="16.5" customHeight="1" x14ac:dyDescent="0.2">
      <c r="B41" s="113"/>
      <c r="C41" s="56" t="s">
        <v>10</v>
      </c>
      <c r="D41" s="57">
        <v>0</v>
      </c>
      <c r="E41" s="58"/>
      <c r="F41" s="59"/>
    </row>
    <row r="42" spans="2:6" ht="16.5" customHeight="1" x14ac:dyDescent="0.2">
      <c r="B42" s="113"/>
      <c r="C42" s="56" t="s">
        <v>38</v>
      </c>
      <c r="D42" s="57">
        <v>0</v>
      </c>
      <c r="E42" s="58"/>
      <c r="F42" s="59"/>
    </row>
    <row r="43" spans="2:6" ht="16.5" customHeight="1" thickBot="1" x14ac:dyDescent="0.25">
      <c r="B43" s="114"/>
      <c r="C43" s="60" t="s">
        <v>19</v>
      </c>
      <c r="D43" s="66">
        <f>SUM(D37:D42)</f>
        <v>0</v>
      </c>
      <c r="E43" s="61"/>
      <c r="F43" s="62"/>
    </row>
    <row r="44" spans="2:6" ht="33" customHeight="1" thickBot="1" x14ac:dyDescent="0.25">
      <c r="C44" s="8"/>
      <c r="D44" s="8"/>
      <c r="E44" s="9"/>
      <c r="F44" s="7"/>
    </row>
    <row r="45" spans="2:6" ht="21.75" customHeight="1" thickBot="1" x14ac:dyDescent="0.25">
      <c r="B45" s="22" t="s">
        <v>20</v>
      </c>
      <c r="C45" s="63"/>
      <c r="D45" s="12">
        <f>SUM(TestTotal,ConstructionTotal,Planning2Total,PlanningTotal,InstallTotal)</f>
        <v>0</v>
      </c>
      <c r="E45" s="64"/>
      <c r="F45" s="65"/>
    </row>
  </sheetData>
  <mergeCells count="5">
    <mergeCell ref="B5:B11"/>
    <mergeCell ref="B13:B19"/>
    <mergeCell ref="B21:B27"/>
    <mergeCell ref="B29:B35"/>
    <mergeCell ref="B37:B43"/>
  </mergeCells>
  <printOptions horizontalCentered="1"/>
  <pageMargins left="0.7" right="0.7" top="0.75" bottom="0.75" header="0.3" footer="0.3"/>
  <pageSetup scale="78" orientation="portrait"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pageSetUpPr autoPageBreaks="0" fitToPage="1"/>
  </sheetPr>
  <dimension ref="A1:Q45"/>
  <sheetViews>
    <sheetView showGridLines="0" topLeftCell="D32" zoomScaleNormal="100" workbookViewId="0">
      <selection activeCell="U55" sqref="U55"/>
    </sheetView>
  </sheetViews>
  <sheetFormatPr defaultRowHeight="12" x14ac:dyDescent="0.2"/>
  <cols>
    <col min="1" max="1" width="2.7109375" style="27" customWidth="1"/>
    <col min="2" max="16" width="9.140625" style="27"/>
    <col min="17" max="17" width="2.7109375" style="27" customWidth="1"/>
    <col min="18" max="16384" width="9.140625" style="27"/>
  </cols>
  <sheetData>
    <row r="1" spans="1:17" customFormat="1" ht="6.75" customHeight="1" x14ac:dyDescent="0.2">
      <c r="B1" s="13"/>
      <c r="C1" s="13"/>
      <c r="D1" s="13"/>
      <c r="E1" s="13"/>
      <c r="F1" s="13"/>
      <c r="G1" s="14"/>
      <c r="H1" s="14"/>
      <c r="I1" s="14"/>
      <c r="J1" s="14"/>
      <c r="K1" s="14"/>
      <c r="L1" s="14"/>
      <c r="M1" s="14"/>
      <c r="N1" s="14"/>
      <c r="O1" s="14"/>
      <c r="P1" s="14"/>
      <c r="Q1" s="14"/>
    </row>
    <row r="2" spans="1:17" ht="42" customHeight="1" x14ac:dyDescent="0.2">
      <c r="A2" s="67" t="s">
        <v>22</v>
      </c>
      <c r="B2" s="2"/>
      <c r="C2" s="28"/>
      <c r="D2" s="28"/>
      <c r="E2" s="28"/>
      <c r="F2" s="28"/>
      <c r="G2" s="28"/>
      <c r="H2" s="28"/>
      <c r="I2" s="28"/>
      <c r="J2" s="28"/>
    </row>
    <row r="5" spans="1:17" ht="15" customHeight="1" x14ac:dyDescent="0.2">
      <c r="B5" s="29" t="s">
        <v>46</v>
      </c>
      <c r="C5" s="29"/>
      <c r="D5" s="29"/>
      <c r="E5" s="29"/>
      <c r="F5" s="29"/>
      <c r="G5" s="29"/>
      <c r="H5" s="29"/>
      <c r="I5" s="29"/>
      <c r="J5" s="29"/>
      <c r="K5" s="29"/>
      <c r="L5" s="29"/>
      <c r="M5" s="29"/>
      <c r="N5" s="29"/>
      <c r="O5" s="29"/>
      <c r="P5" s="29"/>
    </row>
    <row r="26" spans="2:16" ht="15" customHeight="1" x14ac:dyDescent="0.2">
      <c r="B26" s="29" t="s">
        <v>47</v>
      </c>
      <c r="C26" s="29"/>
      <c r="D26" s="29"/>
      <c r="E26" s="29"/>
      <c r="F26" s="29"/>
      <c r="G26" s="29"/>
      <c r="H26" s="29"/>
      <c r="I26" s="29"/>
      <c r="J26" s="29"/>
      <c r="K26" s="29"/>
      <c r="L26" s="29"/>
      <c r="M26" s="29"/>
      <c r="N26" s="29"/>
      <c r="O26" s="29"/>
      <c r="P26" s="29"/>
    </row>
    <row r="40" spans="17:17" ht="12" customHeight="1" x14ac:dyDescent="0.2"/>
    <row r="45" spans="17:17" x14ac:dyDescent="0.2">
      <c r="Q45" s="27" t="s">
        <v>50</v>
      </c>
    </row>
  </sheetData>
  <phoneticPr fontId="0" type="noConversion"/>
  <printOptions horizontalCentered="1" verticalCentered="1"/>
  <pageMargins left="0.4" right="0.4" top="0.4" bottom="0.4" header="0.5" footer="0.5"/>
  <pageSetup orientation="landscape" r:id="rId1"/>
  <headerFooter alignWithMargins="0"/>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autoPageBreaks="0" fitToPage="1"/>
  </sheetPr>
  <dimension ref="A1:F14"/>
  <sheetViews>
    <sheetView showGridLines="0" topLeftCell="A2" workbookViewId="0">
      <selection activeCell="D25" sqref="D25"/>
    </sheetView>
  </sheetViews>
  <sheetFormatPr defaultRowHeight="16.5" customHeight="1" x14ac:dyDescent="0.2"/>
  <cols>
    <col min="1" max="1" width="2.7109375" customWidth="1"/>
    <col min="2" max="2" width="11.7109375" customWidth="1"/>
    <col min="3" max="3" width="19.7109375" customWidth="1"/>
    <col min="4" max="4" width="25" customWidth="1"/>
    <col min="5" max="5" width="24.85546875" style="24" customWidth="1"/>
    <col min="6" max="6" width="22.140625" customWidth="1"/>
  </cols>
  <sheetData>
    <row r="1" spans="1:6" ht="6.75" customHeight="1" x14ac:dyDescent="0.2">
      <c r="B1" s="13"/>
      <c r="C1" s="13"/>
      <c r="D1" s="13"/>
      <c r="E1" s="25"/>
      <c r="F1" s="13"/>
    </row>
    <row r="2" spans="1:6" ht="42" customHeight="1" x14ac:dyDescent="0.5">
      <c r="A2" s="15" t="s">
        <v>48</v>
      </c>
      <c r="C2" s="1"/>
      <c r="D2" s="1"/>
      <c r="E2" s="26"/>
      <c r="F2" s="1"/>
    </row>
    <row r="4" spans="1:6" s="79" customFormat="1" ht="39.75" customHeight="1" x14ac:dyDescent="0.2">
      <c r="B4" s="68" t="s">
        <v>74</v>
      </c>
      <c r="C4" s="68" t="s">
        <v>78</v>
      </c>
      <c r="D4" s="68" t="s">
        <v>80</v>
      </c>
      <c r="E4" s="68" t="s">
        <v>44</v>
      </c>
      <c r="F4" s="68" t="s">
        <v>45</v>
      </c>
    </row>
    <row r="5" spans="1:6" ht="16.5" customHeight="1" x14ac:dyDescent="0.2">
      <c r="B5" s="30">
        <v>1</v>
      </c>
      <c r="C5" s="31">
        <v>2227.5</v>
      </c>
      <c r="D5" s="31">
        <v>2237</v>
      </c>
      <c r="E5" s="31">
        <f>C5</f>
        <v>2227.5</v>
      </c>
      <c r="F5" s="31">
        <v>2237</v>
      </c>
    </row>
    <row r="6" spans="1:6" ht="16.5" customHeight="1" x14ac:dyDescent="0.2">
      <c r="B6" s="30">
        <v>2</v>
      </c>
      <c r="C6" s="31">
        <v>2590</v>
      </c>
      <c r="D6" s="31">
        <v>2600</v>
      </c>
      <c r="E6" s="31">
        <f>E5+C6</f>
        <v>4817.5</v>
      </c>
      <c r="F6" s="31">
        <f>F5+D6</f>
        <v>4837</v>
      </c>
    </row>
    <row r="7" spans="1:6" ht="16.5" customHeight="1" x14ac:dyDescent="0.2">
      <c r="B7" s="30">
        <v>3</v>
      </c>
      <c r="C7" s="31">
        <v>4252.5</v>
      </c>
      <c r="D7" s="31">
        <v>4003</v>
      </c>
      <c r="E7" s="31">
        <f>E6+tblCosts[[#This Row],[PROJECTED WEEKLY COST]]</f>
        <v>9070</v>
      </c>
      <c r="F7" s="31">
        <f>F6+tblCosts[[#This Row],[ACTUAL WEEKLY COST]]</f>
        <v>8840</v>
      </c>
    </row>
    <row r="8" spans="1:6" ht="16.5" customHeight="1" x14ac:dyDescent="0.2">
      <c r="B8" s="30">
        <v>4</v>
      </c>
      <c r="C8" s="31">
        <v>39887.5</v>
      </c>
      <c r="D8" s="31">
        <v>42007</v>
      </c>
      <c r="E8" s="31">
        <f>E7+tblCosts[[#This Row],[PROJECTED WEEKLY COST]]</f>
        <v>48957.5</v>
      </c>
      <c r="F8" s="31">
        <f>F7+tblCosts[[#This Row],[ACTUAL WEEKLY COST]]</f>
        <v>50847</v>
      </c>
    </row>
    <row r="9" spans="1:6" ht="16.5" customHeight="1" x14ac:dyDescent="0.2">
      <c r="B9" s="30">
        <v>5</v>
      </c>
      <c r="C9" s="31">
        <v>1264128.5</v>
      </c>
      <c r="D9" s="31">
        <v>1368594</v>
      </c>
      <c r="E9" s="31">
        <f>E8+tblCosts[[#This Row],[PROJECTED WEEKLY COST]]</f>
        <v>1313086</v>
      </c>
      <c r="F9" s="31">
        <f>F8+tblCosts[[#This Row],[ACTUAL WEEKLY COST]]</f>
        <v>1419441</v>
      </c>
    </row>
    <row r="10" spans="1:6" ht="16.5" customHeight="1" x14ac:dyDescent="0.2">
      <c r="B10" s="30">
        <v>6</v>
      </c>
      <c r="C10" s="31">
        <v>769954</v>
      </c>
      <c r="D10" s="31">
        <v>658955.67000000004</v>
      </c>
      <c r="E10" s="31">
        <f>E9+tblCosts[[#This Row],[PROJECTED WEEKLY COST]]</f>
        <v>2083040</v>
      </c>
      <c r="F10" s="31">
        <f>F9+tblCosts[[#This Row],[ACTUAL WEEKLY COST]]</f>
        <v>2078396.67</v>
      </c>
    </row>
    <row r="11" spans="1:6" ht="16.5" customHeight="1" x14ac:dyDescent="0.2">
      <c r="B11" s="30">
        <v>7</v>
      </c>
      <c r="C11" s="31">
        <v>0</v>
      </c>
      <c r="D11" s="31">
        <v>300</v>
      </c>
      <c r="E11" s="31">
        <f>E10+tblCosts[[#This Row],[PROJECTED WEEKLY COST]]</f>
        <v>2083040</v>
      </c>
      <c r="F11" s="31">
        <f>F10+tblCosts[[#This Row],[ACTUAL WEEKLY COST]]</f>
        <v>2078696.67</v>
      </c>
    </row>
    <row r="12" spans="1:6" ht="16.5" customHeight="1" x14ac:dyDescent="0.2">
      <c r="B12" s="30">
        <v>8</v>
      </c>
      <c r="C12" s="31">
        <v>0</v>
      </c>
      <c r="D12" s="31">
        <v>1066.8</v>
      </c>
      <c r="E12" s="31">
        <f>E11+tblCosts[[#This Row],[PROJECTED WEEKLY COST]]</f>
        <v>2083040</v>
      </c>
      <c r="F12" s="31">
        <f>F11+tblCosts[[#This Row],[ACTUAL WEEKLY COST]]</f>
        <v>2079763.47</v>
      </c>
    </row>
    <row r="13" spans="1:6" ht="16.5" customHeight="1" x14ac:dyDescent="0.2">
      <c r="B13" s="30">
        <v>9</v>
      </c>
      <c r="C13" s="31">
        <v>30652.5</v>
      </c>
      <c r="D13" s="31">
        <v>32093</v>
      </c>
      <c r="E13" s="31">
        <f>E12+tblCosts[[#This Row],[PROJECTED WEEKLY COST]]</f>
        <v>2113692.5</v>
      </c>
      <c r="F13" s="31">
        <f>F12+tblCosts[[#This Row],[ACTUAL WEEKLY COST]]</f>
        <v>2111856.4699999997</v>
      </c>
    </row>
    <row r="14" spans="1:6" ht="16.5" customHeight="1" x14ac:dyDescent="0.2">
      <c r="B14" s="30">
        <v>10</v>
      </c>
      <c r="C14" s="31">
        <v>10042.5</v>
      </c>
      <c r="D14" s="31">
        <v>10041</v>
      </c>
      <c r="E14" s="31">
        <f>E13+tblCosts[[#This Row],[PROJECTED WEEKLY COST]]</f>
        <v>2123735</v>
      </c>
      <c r="F14" s="31">
        <f>F13+tblCosts[[#This Row],[ACTUAL WEEKLY COST]]</f>
        <v>2121897.4699999997</v>
      </c>
    </row>
  </sheetData>
  <phoneticPr fontId="0" type="noConversion"/>
  <printOptions horizontalCentered="1"/>
  <pageMargins left="0.5" right="0.5" top="1" bottom="1" header="0.5" footer="0.5"/>
  <pageSetup scale="76" fitToHeight="0" orientation="portrait" r:id="rId1"/>
  <headerFooter differentFirst="1">
    <oddFooter>Page &amp;P of &amp;N</oddFooter>
  </headerFooter>
  <picture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tabSelected="1" workbookViewId="0">
      <selection activeCell="J5" sqref="J5:J14"/>
    </sheetView>
  </sheetViews>
  <sheetFormatPr defaultRowHeight="12" x14ac:dyDescent="0.2"/>
  <cols>
    <col min="2" max="2" width="14.5703125" customWidth="1"/>
    <col min="3" max="3" width="17" customWidth="1"/>
    <col min="4" max="4" width="17.5703125" customWidth="1"/>
    <col min="5" max="5" width="16.42578125" customWidth="1"/>
    <col min="6" max="6" width="10.140625" customWidth="1"/>
    <col min="7" max="7" width="27.85546875" customWidth="1"/>
    <col min="8" max="8" width="25.5703125" customWidth="1"/>
    <col min="9" max="10" width="27.85546875" customWidth="1"/>
  </cols>
  <sheetData>
    <row r="1" spans="1:10" x14ac:dyDescent="0.2">
      <c r="A1" s="116" t="s">
        <v>90</v>
      </c>
      <c r="B1" s="116"/>
      <c r="C1" s="116"/>
      <c r="D1" s="116"/>
      <c r="E1" s="116"/>
    </row>
    <row r="2" spans="1:10" x14ac:dyDescent="0.2">
      <c r="A2" s="116"/>
      <c r="B2" s="116"/>
      <c r="C2" s="116"/>
      <c r="D2" s="116"/>
      <c r="E2" s="116"/>
    </row>
    <row r="3" spans="1:10" ht="7.5" customHeight="1" x14ac:dyDescent="0.2">
      <c r="D3" s="24"/>
    </row>
    <row r="4" spans="1:10" ht="36" x14ac:dyDescent="0.2">
      <c r="A4" s="68" t="s">
        <v>74</v>
      </c>
      <c r="B4" s="68" t="s">
        <v>78</v>
      </c>
      <c r="C4" s="68" t="s">
        <v>80</v>
      </c>
      <c r="D4" s="68" t="s">
        <v>44</v>
      </c>
      <c r="E4" s="68" t="s">
        <v>86</v>
      </c>
      <c r="F4" s="80" t="s">
        <v>79</v>
      </c>
      <c r="G4" s="80" t="s">
        <v>81</v>
      </c>
      <c r="H4" s="80" t="s">
        <v>87</v>
      </c>
      <c r="I4" s="80" t="s">
        <v>88</v>
      </c>
      <c r="J4" s="80" t="s">
        <v>82</v>
      </c>
    </row>
    <row r="5" spans="1:10" ht="32.25" customHeight="1" x14ac:dyDescent="0.2">
      <c r="A5" s="30">
        <v>1</v>
      </c>
      <c r="B5" s="31">
        <v>2227.5</v>
      </c>
      <c r="C5" s="31">
        <v>2237</v>
      </c>
      <c r="D5" s="31">
        <f>B5</f>
        <v>2227.5</v>
      </c>
      <c r="E5" s="31">
        <v>2237</v>
      </c>
      <c r="F5" s="81">
        <v>0.1</v>
      </c>
      <c r="G5" s="78"/>
      <c r="H5" s="78"/>
      <c r="I5" s="78"/>
      <c r="J5" s="71"/>
    </row>
    <row r="6" spans="1:10" ht="32.25" customHeight="1" x14ac:dyDescent="0.2">
      <c r="A6" s="30">
        <v>2</v>
      </c>
      <c r="B6" s="31">
        <v>2590</v>
      </c>
      <c r="C6" s="31">
        <v>2600</v>
      </c>
      <c r="D6" s="31">
        <f>D5+B6</f>
        <v>4817.5</v>
      </c>
      <c r="E6" s="31">
        <f>E5+C6</f>
        <v>4837</v>
      </c>
      <c r="F6" s="81">
        <v>0.15</v>
      </c>
      <c r="G6" s="78"/>
      <c r="H6" s="78"/>
      <c r="I6" s="78"/>
      <c r="J6" s="31"/>
    </row>
    <row r="7" spans="1:10" ht="32.25" customHeight="1" x14ac:dyDescent="0.2">
      <c r="A7" s="30">
        <v>3</v>
      </c>
      <c r="B7" s="31">
        <v>4252.5</v>
      </c>
      <c r="C7" s="31">
        <v>4003</v>
      </c>
      <c r="D7" s="31">
        <f>D6+tblCosts3[[#This Row],[PROJECTED WEEKLY COST]]</f>
        <v>9070</v>
      </c>
      <c r="E7" s="31">
        <f>E6+tblCosts3[[#This Row],[ACTUAL WEEKLY COST]]</f>
        <v>8840</v>
      </c>
      <c r="F7" s="81">
        <v>0.17</v>
      </c>
      <c r="G7" s="78"/>
      <c r="H7" s="78"/>
      <c r="I7" s="78"/>
      <c r="J7" s="71"/>
    </row>
    <row r="8" spans="1:10" ht="32.25" customHeight="1" x14ac:dyDescent="0.2">
      <c r="A8" s="30">
        <v>4</v>
      </c>
      <c r="B8" s="31">
        <v>39887.5</v>
      </c>
      <c r="C8" s="31">
        <v>42007</v>
      </c>
      <c r="D8" s="31">
        <f>D7+tblCosts3[[#This Row],[PROJECTED WEEKLY COST]]</f>
        <v>48957.5</v>
      </c>
      <c r="E8" s="31">
        <f>E7+tblCosts3[[#This Row],[ACTUAL WEEKLY COST]]</f>
        <v>50847</v>
      </c>
      <c r="F8" s="81">
        <v>0.2</v>
      </c>
      <c r="G8" s="78"/>
      <c r="H8" s="78"/>
      <c r="I8" s="78"/>
      <c r="J8" s="31"/>
    </row>
    <row r="9" spans="1:10" ht="32.25" customHeight="1" x14ac:dyDescent="0.2">
      <c r="A9" s="30">
        <v>5</v>
      </c>
      <c r="B9" s="31">
        <v>1264128.5</v>
      </c>
      <c r="C9" s="31">
        <v>1368594</v>
      </c>
      <c r="D9" s="31">
        <f>D8+tblCosts3[[#This Row],[PROJECTED WEEKLY COST]]</f>
        <v>1313086</v>
      </c>
      <c r="E9" s="31">
        <f>E8+tblCosts3[[#This Row],[ACTUAL WEEKLY COST]]</f>
        <v>1419441</v>
      </c>
      <c r="F9" s="81">
        <v>0.6</v>
      </c>
      <c r="G9" s="78"/>
      <c r="H9" s="78"/>
      <c r="I9" s="78"/>
      <c r="J9" s="71"/>
    </row>
    <row r="10" spans="1:10" ht="32.25" customHeight="1" x14ac:dyDescent="0.2">
      <c r="A10" s="30">
        <v>6</v>
      </c>
      <c r="B10" s="31">
        <v>769954</v>
      </c>
      <c r="C10" s="31">
        <v>658955.67000000004</v>
      </c>
      <c r="D10" s="31">
        <f>D9+tblCosts3[[#This Row],[PROJECTED WEEKLY COST]]</f>
        <v>2083040</v>
      </c>
      <c r="E10" s="31">
        <f>E9+tblCosts3[[#This Row],[ACTUAL WEEKLY COST]]</f>
        <v>2078396.67</v>
      </c>
      <c r="F10" s="81">
        <v>0.67</v>
      </c>
      <c r="G10" s="78"/>
      <c r="H10" s="78"/>
      <c r="I10" s="78"/>
      <c r="J10" s="31"/>
    </row>
    <row r="11" spans="1:10" ht="32.25" customHeight="1" x14ac:dyDescent="0.2">
      <c r="A11" s="30">
        <v>7</v>
      </c>
      <c r="B11" s="31">
        <v>0</v>
      </c>
      <c r="C11" s="31">
        <v>300</v>
      </c>
      <c r="D11" s="31">
        <f>D10+tblCosts3[[#This Row],[PROJECTED WEEKLY COST]]</f>
        <v>2083040</v>
      </c>
      <c r="E11" s="31">
        <f>E10+tblCosts3[[#This Row],[ACTUAL WEEKLY COST]]</f>
        <v>2078696.67</v>
      </c>
      <c r="F11" s="81">
        <v>0.68</v>
      </c>
      <c r="G11" s="78"/>
      <c r="H11" s="78"/>
      <c r="I11" s="78"/>
      <c r="J11" s="71"/>
    </row>
    <row r="12" spans="1:10" ht="32.25" customHeight="1" x14ac:dyDescent="0.2">
      <c r="A12" s="30">
        <v>8</v>
      </c>
      <c r="B12" s="31">
        <v>0</v>
      </c>
      <c r="C12" s="31">
        <v>1066.8</v>
      </c>
      <c r="D12" s="31">
        <f>D11+tblCosts3[[#This Row],[PROJECTED WEEKLY COST]]</f>
        <v>2083040</v>
      </c>
      <c r="E12" s="31">
        <f>E11+tblCosts3[[#This Row],[ACTUAL WEEKLY COST]]</f>
        <v>2079763.47</v>
      </c>
      <c r="F12" s="81">
        <v>0.7</v>
      </c>
      <c r="G12" s="78"/>
      <c r="H12" s="78"/>
      <c r="I12" s="78"/>
      <c r="J12" s="31"/>
    </row>
    <row r="13" spans="1:10" ht="32.25" customHeight="1" x14ac:dyDescent="0.2">
      <c r="A13" s="30">
        <v>9</v>
      </c>
      <c r="B13" s="31">
        <v>30652.5</v>
      </c>
      <c r="C13" s="31">
        <v>32093</v>
      </c>
      <c r="D13" s="31">
        <f>D12+tblCosts3[[#This Row],[PROJECTED WEEKLY COST]]</f>
        <v>2113692.5</v>
      </c>
      <c r="E13" s="31">
        <f>E12+tblCosts3[[#This Row],[ACTUAL WEEKLY COST]]</f>
        <v>2111856.4699999997</v>
      </c>
      <c r="F13" s="81">
        <v>0.9</v>
      </c>
      <c r="G13" s="78"/>
      <c r="H13" s="78"/>
      <c r="I13" s="78"/>
      <c r="J13" s="71"/>
    </row>
    <row r="14" spans="1:10" ht="32.25" customHeight="1" x14ac:dyDescent="0.2">
      <c r="A14" s="30">
        <v>10</v>
      </c>
      <c r="B14" s="31">
        <v>10042.5</v>
      </c>
      <c r="C14" s="31">
        <v>10041</v>
      </c>
      <c r="D14" s="31">
        <f>D13+tblCosts3[[#This Row],[PROJECTED WEEKLY COST]]</f>
        <v>2123735</v>
      </c>
      <c r="E14" s="31">
        <f>E13+tblCosts3[[#This Row],[ACTUAL WEEKLY COST]]</f>
        <v>2121897.4699999997</v>
      </c>
      <c r="F14" s="81">
        <v>1</v>
      </c>
      <c r="G14" s="78"/>
      <c r="H14" s="78"/>
      <c r="I14" s="78"/>
      <c r="J14" s="31"/>
    </row>
    <row r="15" spans="1:10" ht="32.25" customHeight="1" x14ac:dyDescent="0.2">
      <c r="D15" s="24"/>
      <c r="G15" s="78"/>
      <c r="H15" s="78"/>
      <c r="I15" s="78"/>
      <c r="J15" s="71"/>
    </row>
    <row r="16" spans="1:10" x14ac:dyDescent="0.2">
      <c r="G16" s="78"/>
      <c r="H16" s="78"/>
      <c r="I16" s="78"/>
      <c r="J16" s="31"/>
    </row>
    <row r="17" spans="1:7" x14ac:dyDescent="0.2">
      <c r="A17" s="84" t="s">
        <v>89</v>
      </c>
    </row>
    <row r="18" spans="1:7" ht="39" customHeight="1" x14ac:dyDescent="0.2">
      <c r="A18">
        <v>1</v>
      </c>
      <c r="B18" s="115" t="s">
        <v>83</v>
      </c>
      <c r="C18" s="115"/>
      <c r="D18" s="115"/>
      <c r="E18" s="115"/>
      <c r="F18" s="115"/>
      <c r="G18" s="115"/>
    </row>
    <row r="19" spans="1:7" ht="12.75" x14ac:dyDescent="0.2">
      <c r="B19" s="82"/>
    </row>
    <row r="20" spans="1:7" ht="27" customHeight="1" x14ac:dyDescent="0.2">
      <c r="A20">
        <v>2</v>
      </c>
      <c r="B20" s="115" t="s">
        <v>84</v>
      </c>
      <c r="C20" s="115"/>
      <c r="D20" s="115"/>
      <c r="E20" s="115"/>
      <c r="F20" s="115"/>
      <c r="G20" s="115"/>
    </row>
    <row r="21" spans="1:7" ht="12.75" x14ac:dyDescent="0.2">
      <c r="B21" s="82"/>
    </row>
    <row r="22" spans="1:7" ht="27" customHeight="1" x14ac:dyDescent="0.2">
      <c r="A22">
        <v>3</v>
      </c>
      <c r="B22" s="115" t="s">
        <v>85</v>
      </c>
      <c r="C22" s="115"/>
      <c r="D22" s="115"/>
      <c r="E22" s="115"/>
      <c r="F22" s="115"/>
      <c r="G22" s="115"/>
    </row>
    <row r="23" spans="1:7" ht="12.75" x14ac:dyDescent="0.2">
      <c r="B23" s="82"/>
    </row>
    <row r="24" spans="1:7" x14ac:dyDescent="0.2">
      <c r="B24" s="83"/>
    </row>
  </sheetData>
  <mergeCells count="4">
    <mergeCell ref="B18:G18"/>
    <mergeCell ref="B20:G20"/>
    <mergeCell ref="B22:G22"/>
    <mergeCell ref="A1:E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5FA54C6C-6382-45C3-B9E2-1E0C29AD2D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Source of Project Cost</vt:lpstr>
      <vt:lpstr>Expenditures Over Time</vt:lpstr>
      <vt:lpstr>Cumulative Project Costs</vt:lpstr>
      <vt:lpstr>Data Worksheet</vt:lpstr>
      <vt:lpstr>Manual Calculations</vt:lpstr>
      <vt:lpstr>ConstructionTotal</vt:lpstr>
      <vt:lpstr>InstallTotal</vt:lpstr>
      <vt:lpstr>Planning2Total</vt:lpstr>
      <vt:lpstr>PlanningTotal</vt:lpstr>
      <vt:lpstr>'Data Worksheet'!Print_Titles</vt:lpstr>
      <vt:lpstr>TestTotal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Margaret Fitzgerald-Sisk</dc:creator>
  <cp:lastModifiedBy>Meg Fitzgerald-Sisk</cp:lastModifiedBy>
  <dcterms:created xsi:type="dcterms:W3CDTF">2013-10-31T19:38:58Z</dcterms:created>
  <dcterms:modified xsi:type="dcterms:W3CDTF">2014-09-18T16:53:17Z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TC040223879991</vt:lpwstr>
  </property>
</Properties>
</file>